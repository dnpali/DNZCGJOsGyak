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sers\Pali\Google Drive\THE 2024\Tananyag\III. félév\Operációs rendszerek\Gyakorlat\1213\"/>
    </mc:Choice>
  </mc:AlternateContent>
  <xr:revisionPtr revIDLastSave="0" documentId="13_ncr:1_{2F517FF1-24D2-45B4-AD3A-DE11722192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. Task - Önálló feladat" sheetId="4" r:id="rId1"/>
    <sheet name="2. Task laphiba" sheetId="3" r:id="rId2"/>
    <sheet name="1. Task foglalas" sheetId="1" r:id="rId3"/>
    <sheet name="2. Task foglala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2" l="1"/>
  <c r="K42" i="2" s="1"/>
  <c r="K56" i="2" s="1"/>
  <c r="K61" i="2" s="1"/>
  <c r="S41" i="2"/>
  <c r="R37" i="2"/>
  <c r="Q37" i="2"/>
  <c r="P37" i="2"/>
  <c r="O37" i="2"/>
  <c r="N37" i="2"/>
  <c r="M37" i="2"/>
  <c r="R36" i="2"/>
  <c r="Q36" i="2"/>
  <c r="P36" i="2"/>
  <c r="O36" i="2"/>
  <c r="N36" i="2"/>
  <c r="M36" i="2"/>
  <c r="N51" i="2"/>
  <c r="O51" i="2"/>
  <c r="P51" i="2"/>
  <c r="Q51" i="2"/>
  <c r="R51" i="2"/>
  <c r="M51" i="2"/>
  <c r="O50" i="2"/>
  <c r="Q20" i="2"/>
  <c r="P20" i="2"/>
  <c r="O20" i="2"/>
  <c r="M20" i="2"/>
  <c r="S55" i="2"/>
  <c r="R50" i="2"/>
  <c r="Q50" i="2"/>
  <c r="P50" i="2"/>
  <c r="N50" i="2"/>
  <c r="M50" i="2"/>
  <c r="S25" i="2"/>
  <c r="S21" i="2"/>
  <c r="R20" i="2"/>
  <c r="N20" i="2"/>
  <c r="S10" i="2"/>
  <c r="N5" i="2"/>
  <c r="O5" i="2"/>
  <c r="P5" i="2"/>
  <c r="Q5" i="2"/>
  <c r="R5" i="2"/>
  <c r="M5" i="2"/>
  <c r="S6" i="2"/>
  <c r="S20" i="2" l="1"/>
  <c r="S28" i="2" s="1"/>
  <c r="K27" i="2" s="1"/>
  <c r="K63" i="2" s="1"/>
  <c r="S5" i="2"/>
  <c r="S13" i="2" s="1"/>
  <c r="K12" i="2" s="1"/>
  <c r="K62" i="2" s="1"/>
  <c r="S51" i="2"/>
  <c r="S37" i="2"/>
  <c r="S36" i="2"/>
  <c r="S50" i="2"/>
  <c r="S58" i="2" l="1"/>
  <c r="K57" i="2"/>
  <c r="K65" i="2" s="1"/>
  <c r="S44" i="2"/>
  <c r="K43" i="2" s="1"/>
  <c r="K64" i="2" s="1"/>
</calcChain>
</file>

<file path=xl/sharedStrings.xml><?xml version="1.0" encoding="utf-8"?>
<sst xmlns="http://schemas.openxmlformats.org/spreadsheetml/2006/main" count="222" uniqueCount="60">
  <si>
    <t>Foglalási igény</t>
  </si>
  <si>
    <t>Memória terület</t>
  </si>
  <si>
    <t>P1</t>
  </si>
  <si>
    <t>P2</t>
  </si>
  <si>
    <t>P3</t>
  </si>
  <si>
    <t>P4</t>
  </si>
  <si>
    <t>P5</t>
  </si>
  <si>
    <t>First fit</t>
  </si>
  <si>
    <t>40, 5</t>
  </si>
  <si>
    <t>20, 10</t>
  </si>
  <si>
    <t>40, 35</t>
  </si>
  <si>
    <t>Szabad particiok</t>
  </si>
  <si>
    <t>maradék</t>
  </si>
  <si>
    <t>legkisebb eddig folalás</t>
  </si>
  <si>
    <t>túl kicsi blokk</t>
  </si>
  <si>
    <t>blokk méret</t>
  </si>
  <si>
    <t>blokksiítás beslő töredezztsé</t>
  </si>
  <si>
    <t>20, 15</t>
  </si>
  <si>
    <t>24, 11</t>
  </si>
  <si>
    <t>26, 6</t>
  </si>
  <si>
    <t>Memóriakert</t>
  </si>
  <si>
    <t>Laphivatkozások</t>
  </si>
  <si>
    <t>igénylet lap</t>
  </si>
  <si>
    <t>1. lap</t>
  </si>
  <si>
    <t>2. lap</t>
  </si>
  <si>
    <t>3. lap</t>
  </si>
  <si>
    <t>Laphibák</t>
  </si>
  <si>
    <t>*</t>
  </si>
  <si>
    <t>laphibák száma 3+2</t>
  </si>
  <si>
    <t>4. lap</t>
  </si>
  <si>
    <t>FIFO</t>
  </si>
  <si>
    <t>4+10</t>
  </si>
  <si>
    <t>Next fit</t>
  </si>
  <si>
    <t>Worst fit</t>
  </si>
  <si>
    <t>Best fit</t>
  </si>
  <si>
    <r>
      <t xml:space="preserve">39, </t>
    </r>
    <r>
      <rPr>
        <sz val="11"/>
        <color rgb="FFC00000"/>
        <rFont val="Calibri"/>
        <family val="2"/>
        <charset val="238"/>
        <scheme val="minor"/>
      </rPr>
      <t>30</t>
    </r>
  </si>
  <si>
    <r>
      <t xml:space="preserve">28, </t>
    </r>
    <r>
      <rPr>
        <sz val="11"/>
        <color rgb="FFC00000"/>
        <rFont val="Calibri"/>
        <family val="2"/>
        <charset val="238"/>
        <scheme val="minor"/>
      </rPr>
      <t>1</t>
    </r>
  </si>
  <si>
    <r>
      <t xml:space="preserve">16, </t>
    </r>
    <r>
      <rPr>
        <sz val="11"/>
        <color rgb="FFC00000"/>
        <rFont val="Calibri"/>
        <family val="2"/>
        <charset val="238"/>
        <scheme val="minor"/>
      </rPr>
      <t>3</t>
    </r>
  </si>
  <si>
    <r>
      <t xml:space="preserve">15, </t>
    </r>
    <r>
      <rPr>
        <sz val="11"/>
        <color rgb="FFC00000"/>
        <rFont val="Calibri"/>
        <family val="2"/>
        <charset val="238"/>
        <scheme val="minor"/>
      </rPr>
      <t>9</t>
    </r>
  </si>
  <si>
    <r>
      <t>35,</t>
    </r>
    <r>
      <rPr>
        <sz val="11"/>
        <color rgb="FFC00000"/>
        <rFont val="Calibri"/>
        <family val="2"/>
        <charset val="238"/>
        <scheme val="minor"/>
      </rPr>
      <t xml:space="preserve"> 4</t>
    </r>
  </si>
  <si>
    <r>
      <t xml:space="preserve">[15] </t>
    </r>
    <r>
      <rPr>
        <sz val="11"/>
        <color rgb="FFC00000"/>
        <rFont val="Calibri"/>
        <family val="2"/>
        <charset val="238"/>
        <scheme val="minor"/>
      </rPr>
      <t>9</t>
    </r>
    <r>
      <rPr>
        <sz val="11"/>
        <color theme="1"/>
        <rFont val="Calibri"/>
        <family val="2"/>
        <scheme val="minor"/>
      </rPr>
      <t xml:space="preserve"> [28] </t>
    </r>
    <r>
      <rPr>
        <sz val="11"/>
        <color rgb="FFC00000"/>
        <rFont val="Calibri"/>
        <family val="2"/>
        <charset val="238"/>
        <scheme val="minor"/>
      </rPr>
      <t>1 9</t>
    </r>
    <r>
      <rPr>
        <sz val="11"/>
        <color theme="1"/>
        <rFont val="Calibri"/>
        <family val="2"/>
        <scheme val="minor"/>
      </rPr>
      <t xml:space="preserve"> [16] </t>
    </r>
    <r>
      <rPr>
        <sz val="11"/>
        <color rgb="FFC00000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scheme val="minor"/>
      </rPr>
      <t xml:space="preserve"> [30] </t>
    </r>
    <r>
      <rPr>
        <sz val="11"/>
        <color rgb="FFC00000"/>
        <rFont val="Calibri"/>
        <family val="2"/>
        <charset val="238"/>
        <scheme val="minor"/>
      </rPr>
      <t>30</t>
    </r>
    <r>
      <rPr>
        <sz val="11"/>
        <color theme="1"/>
        <rFont val="Calibri"/>
        <family val="2"/>
        <scheme val="minor"/>
      </rPr>
      <t xml:space="preserve"> [35] </t>
    </r>
    <r>
      <rPr>
        <sz val="11"/>
        <color rgb="FFC00000"/>
        <rFont val="Calibri"/>
        <family val="2"/>
        <charset val="238"/>
        <scheme val="minor"/>
      </rPr>
      <t>4 39</t>
    </r>
  </si>
  <si>
    <r>
      <t xml:space="preserve">[15] </t>
    </r>
    <r>
      <rPr>
        <sz val="11"/>
        <color rgb="FFC00000"/>
        <rFont val="Calibri"/>
        <family val="2"/>
        <charset val="238"/>
        <scheme val="minor"/>
      </rPr>
      <t>9</t>
    </r>
    <r>
      <rPr>
        <sz val="11"/>
        <color theme="1"/>
        <rFont val="Calibri"/>
        <family val="2"/>
        <scheme val="minor"/>
      </rPr>
      <t xml:space="preserve"> [16] </t>
    </r>
    <r>
      <rPr>
        <sz val="11"/>
        <color rgb="FFC00000"/>
        <rFont val="Calibri"/>
        <family val="2"/>
        <charset val="238"/>
        <scheme val="minor"/>
      </rPr>
      <t>13 9 19</t>
    </r>
    <r>
      <rPr>
        <sz val="11"/>
        <color theme="1"/>
        <rFont val="Calibri"/>
        <family val="2"/>
        <scheme val="minor"/>
      </rPr>
      <t xml:space="preserve"> [39] </t>
    </r>
    <r>
      <rPr>
        <sz val="11"/>
        <color rgb="FFC00000"/>
        <rFont val="Calibri"/>
        <family val="2"/>
        <charset val="238"/>
        <scheme val="minor"/>
      </rPr>
      <t>30</t>
    </r>
    <r>
      <rPr>
        <sz val="11"/>
        <color theme="1"/>
        <rFont val="Calibri"/>
        <family val="2"/>
        <scheme val="minor"/>
      </rPr>
      <t xml:space="preserve"> [35] </t>
    </r>
    <r>
      <rPr>
        <sz val="11"/>
        <color rgb="FFC00000"/>
        <rFont val="Calibri"/>
        <family val="2"/>
        <charset val="238"/>
        <scheme val="minor"/>
      </rPr>
      <t>4</t>
    </r>
    <r>
      <rPr>
        <sz val="11"/>
        <color theme="1"/>
        <rFont val="Calibri"/>
        <family val="2"/>
        <scheme val="minor"/>
      </rPr>
      <t xml:space="preserve"> [28]</t>
    </r>
    <r>
      <rPr>
        <sz val="11"/>
        <color rgb="FFC00000"/>
        <rFont val="Calibri"/>
        <family val="2"/>
        <charset val="238"/>
        <scheme val="minor"/>
      </rPr>
      <t xml:space="preserve"> 11</t>
    </r>
  </si>
  <si>
    <r>
      <t xml:space="preserve">16, </t>
    </r>
    <r>
      <rPr>
        <sz val="11"/>
        <color rgb="FFC00000"/>
        <rFont val="Calibri"/>
        <family val="2"/>
        <charset val="238"/>
        <scheme val="minor"/>
      </rPr>
      <t>13</t>
    </r>
  </si>
  <si>
    <r>
      <t xml:space="preserve">35, </t>
    </r>
    <r>
      <rPr>
        <sz val="11"/>
        <color rgb="FFC00000"/>
        <rFont val="Calibri"/>
        <family val="2"/>
        <charset val="238"/>
        <scheme val="minor"/>
      </rPr>
      <t>4</t>
    </r>
  </si>
  <si>
    <r>
      <t xml:space="preserve">28, </t>
    </r>
    <r>
      <rPr>
        <sz val="11"/>
        <color rgb="FFC00000"/>
        <rFont val="Calibri"/>
        <family val="2"/>
        <charset val="238"/>
        <scheme val="minor"/>
      </rPr>
      <t>11</t>
    </r>
  </si>
  <si>
    <r>
      <t>28,</t>
    </r>
    <r>
      <rPr>
        <sz val="11"/>
        <color rgb="FFC00000"/>
        <rFont val="Calibri"/>
        <family val="2"/>
        <charset val="238"/>
        <scheme val="minor"/>
      </rPr>
      <t xml:space="preserve"> 1</t>
    </r>
  </si>
  <si>
    <r>
      <t xml:space="preserve">16, </t>
    </r>
    <r>
      <rPr>
        <sz val="11"/>
        <color rgb="FFC00000"/>
        <rFont val="Calibri"/>
        <family val="2"/>
        <charset val="238"/>
        <scheme val="minor"/>
      </rPr>
      <t>8</t>
    </r>
  </si>
  <si>
    <r>
      <t>15,</t>
    </r>
    <r>
      <rPr>
        <sz val="11"/>
        <color rgb="FFC00000"/>
        <rFont val="Calibri"/>
        <family val="2"/>
        <charset val="238"/>
        <scheme val="minor"/>
      </rPr>
      <t xml:space="preserve"> 4</t>
    </r>
  </si>
  <si>
    <r>
      <t xml:space="preserve">39, </t>
    </r>
    <r>
      <rPr>
        <sz val="11"/>
        <color rgb="FFC00000"/>
        <rFont val="Calibri"/>
        <family val="2"/>
        <charset val="238"/>
        <scheme val="minor"/>
      </rPr>
      <t>0</t>
    </r>
  </si>
  <si>
    <r>
      <t xml:space="preserve">[16] </t>
    </r>
    <r>
      <rPr>
        <sz val="11"/>
        <color rgb="FFC00000"/>
        <rFont val="Calibri"/>
        <family val="2"/>
        <charset val="238"/>
        <scheme val="minor"/>
      </rPr>
      <t>8</t>
    </r>
    <r>
      <rPr>
        <sz val="11"/>
        <color theme="1"/>
        <rFont val="Calibri"/>
        <family val="2"/>
        <scheme val="minor"/>
      </rPr>
      <t xml:space="preserve"> [28]</t>
    </r>
    <r>
      <rPr>
        <sz val="11"/>
        <color rgb="FFC00000"/>
        <rFont val="Calibri"/>
        <family val="2"/>
        <charset val="238"/>
        <scheme val="minor"/>
      </rPr>
      <t xml:space="preserve"> 1 9 </t>
    </r>
    <r>
      <rPr>
        <sz val="11"/>
        <color theme="1"/>
        <rFont val="Calibri"/>
        <family val="2"/>
        <scheme val="minor"/>
      </rPr>
      <t>[15]</t>
    </r>
    <r>
      <rPr>
        <sz val="11"/>
        <color rgb="FFC00000"/>
        <rFont val="Calibri"/>
        <family val="2"/>
        <charset val="238"/>
        <scheme val="minor"/>
      </rPr>
      <t xml:space="preserve"> 4 69</t>
    </r>
    <r>
      <rPr>
        <sz val="11"/>
        <color theme="1"/>
        <rFont val="Calibri"/>
        <family val="2"/>
        <scheme val="minor"/>
      </rPr>
      <t xml:space="preserve"> [39] </t>
    </r>
    <r>
      <rPr>
        <sz val="11"/>
        <color rgb="FFC00000"/>
        <rFont val="Calibri"/>
        <family val="2"/>
        <charset val="238"/>
        <scheme val="minor"/>
      </rPr>
      <t xml:space="preserve">0 </t>
    </r>
    <r>
      <rPr>
        <sz val="11"/>
        <color theme="1"/>
        <rFont val="Calibri"/>
        <family val="2"/>
        <scheme val="minor"/>
      </rPr>
      <t xml:space="preserve">[35] </t>
    </r>
    <r>
      <rPr>
        <sz val="11"/>
        <color rgb="FFC00000"/>
        <rFont val="Calibri"/>
        <family val="2"/>
        <charset val="238"/>
        <scheme val="minor"/>
      </rPr>
      <t>4</t>
    </r>
  </si>
  <si>
    <r>
      <t xml:space="preserve">15, </t>
    </r>
    <r>
      <rPr>
        <sz val="11"/>
        <color rgb="FFC00000"/>
        <rFont val="Calibri"/>
        <family val="2"/>
        <charset val="238"/>
        <scheme val="minor"/>
      </rPr>
      <t>15</t>
    </r>
  </si>
  <si>
    <r>
      <rPr>
        <sz val="11"/>
        <color rgb="FFC00000"/>
        <rFont val="Calibri"/>
        <family val="2"/>
        <charset val="238"/>
        <scheme val="minor"/>
      </rPr>
      <t>24</t>
    </r>
    <r>
      <rPr>
        <sz val="11"/>
        <color theme="1"/>
        <rFont val="Calibri"/>
        <family val="2"/>
        <scheme val="minor"/>
      </rPr>
      <t xml:space="preserve"> [16] </t>
    </r>
    <r>
      <rPr>
        <sz val="11"/>
        <color rgb="FFC00000"/>
        <rFont val="Calibri"/>
        <family val="2"/>
        <charset val="238"/>
        <scheme val="minor"/>
      </rPr>
      <t>13 9 19</t>
    </r>
    <r>
      <rPr>
        <sz val="11"/>
        <color theme="1"/>
        <rFont val="Calibri"/>
        <family val="2"/>
        <scheme val="minor"/>
      </rPr>
      <t xml:space="preserve"> [39] [15] </t>
    </r>
    <r>
      <rPr>
        <sz val="11"/>
        <color rgb="FFC00000"/>
        <rFont val="Calibri"/>
        <family val="2"/>
        <charset val="238"/>
        <scheme val="minor"/>
      </rPr>
      <t>15</t>
    </r>
    <r>
      <rPr>
        <sz val="11"/>
        <color theme="1"/>
        <rFont val="Calibri"/>
        <family val="2"/>
        <scheme val="minor"/>
      </rPr>
      <t xml:space="preserve"> [35] </t>
    </r>
    <r>
      <rPr>
        <sz val="11"/>
        <color rgb="FFC00000"/>
        <rFont val="Calibri"/>
        <family val="2"/>
        <charset val="238"/>
        <scheme val="minor"/>
      </rPr>
      <t>4</t>
    </r>
    <r>
      <rPr>
        <sz val="11"/>
        <color theme="1"/>
        <rFont val="Calibri"/>
        <family val="2"/>
        <scheme val="minor"/>
      </rPr>
      <t xml:space="preserve"> [28] </t>
    </r>
    <r>
      <rPr>
        <sz val="11"/>
        <color rgb="FFC00000"/>
        <rFont val="Calibri"/>
        <family val="2"/>
        <charset val="238"/>
        <scheme val="minor"/>
      </rPr>
      <t>11</t>
    </r>
  </si>
  <si>
    <t>nincs foglalva</t>
  </si>
  <si>
    <t>Elveszett memória terület</t>
  </si>
  <si>
    <t>igényelt lap</t>
  </si>
  <si>
    <t>laphibák</t>
  </si>
  <si>
    <t>LRU</t>
  </si>
  <si>
    <t>OPT</t>
  </si>
  <si>
    <t>4+6</t>
  </si>
  <si>
    <t>4+4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</si>
</sst>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C0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6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8" xfId="0" applyBorder="1"/>
    <xf numFmtId="0" fontId="0" fillId="0" borderId="21" xfId="0" applyBorder="1"/>
    <xf numFmtId="0" fontId="5" fillId="0" borderId="16" xfId="0" applyFont="1" applyBorder="1" applyAlignment="1">
      <alignment horizontal="center"/>
    </xf>
    <xf numFmtId="0" fontId="0" fillId="0" borderId="22" xfId="0" applyBorder="1"/>
    <xf numFmtId="0" fontId="5" fillId="0" borderId="11" xfId="0" applyFont="1" applyBorder="1" applyAlignment="1">
      <alignment horizontal="center"/>
    </xf>
    <xf numFmtId="0" fontId="0" fillId="0" borderId="23" xfId="0" applyBorder="1"/>
    <xf numFmtId="0" fontId="5" fillId="0" borderId="13" xfId="0" applyFon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Task foglalas'!$K$61</c:f>
              <c:strCache>
                <c:ptCount val="1"/>
                <c:pt idx="0">
                  <c:v>Elveszett memória terület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Task foglalas'!$J$62:$J$65</c:f>
              <c:strCache>
                <c:ptCount val="4"/>
                <c:pt idx="0">
                  <c:v>First fit</c:v>
                </c:pt>
                <c:pt idx="1">
                  <c:v>Next fit</c:v>
                </c:pt>
                <c:pt idx="2">
                  <c:v>Best fit</c:v>
                </c:pt>
                <c:pt idx="3">
                  <c:v>Worst fit</c:v>
                </c:pt>
              </c:strCache>
            </c:strRef>
          </c:cat>
          <c:val>
            <c:numRef>
              <c:f>'2. Task foglalas'!$K$62:$K$65</c:f>
              <c:numCache>
                <c:formatCode>0.00%</c:formatCode>
                <c:ptCount val="4"/>
                <c:pt idx="0">
                  <c:v>0.25777777777777777</c:v>
                </c:pt>
                <c:pt idx="1">
                  <c:v>0.25777777777777777</c:v>
                </c:pt>
                <c:pt idx="2">
                  <c:v>0.21333333333333335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4-4533-8D96-54C29C81EA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947568"/>
        <c:axId val="182948528"/>
      </c:barChart>
      <c:catAx>
        <c:axId val="18294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2948528"/>
        <c:crosses val="autoZero"/>
        <c:auto val="1"/>
        <c:lblAlgn val="ctr"/>
        <c:lblOffset val="100"/>
        <c:noMultiLvlLbl val="0"/>
      </c:catAx>
      <c:valAx>
        <c:axId val="18294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294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342900</xdr:colOff>
      <xdr:row>59</xdr:row>
      <xdr:rowOff>176212</xdr:rowOff>
    </xdr:from>
    <xdr:to>
      <xdr:col>16</xdr:col>
      <xdr:colOff>400050</xdr:colOff>
      <xdr:row>74</xdr:row>
      <xdr:rowOff>61912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06AEFFD-70FD-C4ED-1B02-2A3A56564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6C89-50F0-4DCA-88AF-5CA6E625E423}">
  <dimension ref="A1:U35"/>
  <sheetViews>
    <sheetView tabSelected="1" workbookViewId="0">
      <selection activeCell="G9" sqref="G9"/>
    </sheetView>
  </sheetViews>
  <sheetFormatPr defaultRowHeight="15" x14ac:dyDescent="0.25"/>
  <cols>
    <col min="1" max="1" width="12.5703125" bestFit="1" customWidth="1"/>
  </cols>
  <sheetData>
    <row r="1" spans="1:21" x14ac:dyDescent="0.25">
      <c r="A1" s="3" t="s">
        <v>57</v>
      </c>
    </row>
    <row r="2" spans="1:21" x14ac:dyDescent="0.25">
      <c r="A2" s="4" t="s">
        <v>20</v>
      </c>
      <c r="B2" s="45" t="s">
        <v>21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x14ac:dyDescent="0.25">
      <c r="A3" s="4" t="s">
        <v>22</v>
      </c>
      <c r="B3" s="5">
        <v>5</v>
      </c>
      <c r="C3" s="5">
        <v>4</v>
      </c>
      <c r="D3" s="5">
        <v>3</v>
      </c>
      <c r="E3" s="5">
        <v>2</v>
      </c>
      <c r="F3" s="5">
        <v>4</v>
      </c>
      <c r="G3" s="5">
        <v>5</v>
      </c>
      <c r="H3" s="5">
        <v>1</v>
      </c>
      <c r="I3" s="5">
        <v>7</v>
      </c>
      <c r="J3" s="5">
        <v>4</v>
      </c>
      <c r="K3" s="5">
        <v>5</v>
      </c>
      <c r="L3" s="5">
        <v>4</v>
      </c>
      <c r="M3" s="5">
        <v>3</v>
      </c>
      <c r="N3" s="5">
        <v>6</v>
      </c>
      <c r="O3" s="5">
        <v>7</v>
      </c>
      <c r="P3" s="5">
        <v>3</v>
      </c>
      <c r="Q3" s="5">
        <v>4</v>
      </c>
      <c r="R3" s="5">
        <v>5</v>
      </c>
      <c r="S3" s="5">
        <v>4</v>
      </c>
      <c r="T3" s="5">
        <v>3</v>
      </c>
      <c r="U3" s="5">
        <v>7</v>
      </c>
    </row>
    <row r="4" spans="1:21" x14ac:dyDescent="0.25">
      <c r="A4" s="4" t="s">
        <v>23</v>
      </c>
      <c r="B4" s="11">
        <v>5</v>
      </c>
      <c r="C4" s="5">
        <v>5</v>
      </c>
      <c r="D4" s="5">
        <v>5</v>
      </c>
      <c r="E4" s="41">
        <v>5</v>
      </c>
      <c r="F4" s="9">
        <v>5</v>
      </c>
      <c r="G4" s="9">
        <v>5</v>
      </c>
      <c r="H4" s="56">
        <v>5</v>
      </c>
      <c r="I4" s="56">
        <v>5</v>
      </c>
      <c r="J4" s="9">
        <v>5</v>
      </c>
      <c r="K4" s="9">
        <v>5</v>
      </c>
      <c r="L4" s="9">
        <v>5</v>
      </c>
      <c r="M4" s="9">
        <v>5</v>
      </c>
      <c r="N4" s="11">
        <v>6</v>
      </c>
      <c r="O4" s="9">
        <v>6</v>
      </c>
      <c r="P4" s="9">
        <v>6</v>
      </c>
      <c r="Q4" s="9">
        <v>6</v>
      </c>
      <c r="R4" s="11">
        <v>5</v>
      </c>
      <c r="S4" s="9">
        <v>5</v>
      </c>
      <c r="T4" s="9">
        <v>5</v>
      </c>
      <c r="U4" s="9">
        <v>5</v>
      </c>
    </row>
    <row r="5" spans="1:21" x14ac:dyDescent="0.25">
      <c r="A5" s="4" t="s">
        <v>24</v>
      </c>
      <c r="B5" s="5"/>
      <c r="C5" s="11">
        <v>4</v>
      </c>
      <c r="D5" s="5">
        <v>4</v>
      </c>
      <c r="E5" s="41">
        <v>4</v>
      </c>
      <c r="F5" s="9">
        <v>4</v>
      </c>
      <c r="G5" s="9">
        <v>4</v>
      </c>
      <c r="H5" s="56">
        <v>4</v>
      </c>
      <c r="I5" s="56">
        <v>4</v>
      </c>
      <c r="J5" s="9">
        <v>4</v>
      </c>
      <c r="K5" s="9">
        <v>4</v>
      </c>
      <c r="L5" s="9">
        <v>4</v>
      </c>
      <c r="M5" s="9">
        <v>4</v>
      </c>
      <c r="N5" s="56">
        <v>4</v>
      </c>
      <c r="O5" s="9">
        <v>4</v>
      </c>
      <c r="P5" s="9">
        <v>4</v>
      </c>
      <c r="Q5" s="9">
        <v>4</v>
      </c>
      <c r="R5" s="56">
        <v>4</v>
      </c>
      <c r="S5" s="9">
        <v>4</v>
      </c>
      <c r="T5" s="9">
        <v>4</v>
      </c>
      <c r="U5" s="9">
        <v>4</v>
      </c>
    </row>
    <row r="6" spans="1:21" x14ac:dyDescent="0.25">
      <c r="A6" s="4" t="s">
        <v>25</v>
      </c>
      <c r="B6" s="5"/>
      <c r="C6" s="5"/>
      <c r="D6" s="11">
        <v>3</v>
      </c>
      <c r="E6" s="41">
        <v>3</v>
      </c>
      <c r="F6" s="9">
        <v>3</v>
      </c>
      <c r="G6" s="9">
        <v>3</v>
      </c>
      <c r="H6" s="56">
        <v>3</v>
      </c>
      <c r="I6" s="56">
        <v>3</v>
      </c>
      <c r="J6" s="9">
        <v>3</v>
      </c>
      <c r="K6" s="9">
        <v>3</v>
      </c>
      <c r="L6" s="9">
        <v>3</v>
      </c>
      <c r="M6" s="9">
        <v>3</v>
      </c>
      <c r="N6" s="56">
        <v>3</v>
      </c>
      <c r="O6" s="9">
        <v>3</v>
      </c>
      <c r="P6" s="9">
        <v>3</v>
      </c>
      <c r="Q6" s="9">
        <v>3</v>
      </c>
      <c r="R6" s="56">
        <v>3</v>
      </c>
      <c r="S6" s="9">
        <v>3</v>
      </c>
      <c r="T6" s="9">
        <v>3</v>
      </c>
      <c r="U6" s="9">
        <v>3</v>
      </c>
    </row>
    <row r="7" spans="1:21" x14ac:dyDescent="0.25">
      <c r="A7" s="4" t="s">
        <v>29</v>
      </c>
      <c r="B7" s="5"/>
      <c r="C7" s="5"/>
      <c r="D7" s="11"/>
      <c r="E7" s="11">
        <v>2</v>
      </c>
      <c r="F7" s="9">
        <v>2</v>
      </c>
      <c r="G7" s="9">
        <v>2</v>
      </c>
      <c r="H7" s="11">
        <v>1</v>
      </c>
      <c r="I7" s="11">
        <v>7</v>
      </c>
      <c r="J7" s="9">
        <v>7</v>
      </c>
      <c r="K7" s="9">
        <v>7</v>
      </c>
      <c r="L7" s="9">
        <v>7</v>
      </c>
      <c r="M7" s="9">
        <v>7</v>
      </c>
      <c r="N7" s="56">
        <v>7</v>
      </c>
      <c r="O7" s="9">
        <v>7</v>
      </c>
      <c r="P7" s="9">
        <v>7</v>
      </c>
      <c r="Q7" s="9">
        <v>7</v>
      </c>
      <c r="R7" s="56">
        <v>7</v>
      </c>
      <c r="S7" s="9">
        <v>7</v>
      </c>
      <c r="T7" s="9">
        <v>7</v>
      </c>
      <c r="U7" s="9">
        <v>7</v>
      </c>
    </row>
    <row r="8" spans="1:21" x14ac:dyDescent="0.25">
      <c r="A8" s="4" t="s">
        <v>26</v>
      </c>
      <c r="B8" s="5" t="s">
        <v>27</v>
      </c>
      <c r="C8" s="5" t="s">
        <v>27</v>
      </c>
      <c r="D8" s="5" t="s">
        <v>27</v>
      </c>
      <c r="E8" s="5" t="s">
        <v>27</v>
      </c>
      <c r="F8" s="56"/>
      <c r="G8" s="56"/>
      <c r="H8" s="56" t="s">
        <v>27</v>
      </c>
      <c r="I8" s="56" t="s">
        <v>27</v>
      </c>
      <c r="J8" s="56"/>
      <c r="K8" s="56"/>
      <c r="L8" s="56"/>
      <c r="M8" s="56"/>
      <c r="N8" s="56" t="s">
        <v>27</v>
      </c>
      <c r="O8" s="56"/>
      <c r="P8" s="56"/>
      <c r="Q8" s="56"/>
      <c r="R8" s="56" t="s">
        <v>27</v>
      </c>
      <c r="S8" s="56"/>
      <c r="T8" s="56"/>
      <c r="U8" s="56"/>
    </row>
    <row r="10" spans="1:21" x14ac:dyDescent="0.25">
      <c r="A10" s="3" t="s">
        <v>55</v>
      </c>
      <c r="B10" s="3" t="s">
        <v>59</v>
      </c>
    </row>
    <row r="13" spans="1:21" x14ac:dyDescent="0.25">
      <c r="A13" s="3" t="s">
        <v>30</v>
      </c>
    </row>
    <row r="14" spans="1:21" x14ac:dyDescent="0.25">
      <c r="A14" s="4" t="s">
        <v>20</v>
      </c>
      <c r="B14" s="45" t="s">
        <v>21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</row>
    <row r="15" spans="1:21" x14ac:dyDescent="0.25">
      <c r="A15" s="4" t="s">
        <v>22</v>
      </c>
      <c r="B15" s="57">
        <v>5</v>
      </c>
      <c r="C15" s="57">
        <v>4</v>
      </c>
      <c r="D15" s="57">
        <v>3</v>
      </c>
      <c r="E15" s="57">
        <v>2</v>
      </c>
      <c r="F15" s="57">
        <v>4</v>
      </c>
      <c r="G15" s="57">
        <v>5</v>
      </c>
      <c r="H15" s="57">
        <v>1</v>
      </c>
      <c r="I15" s="57">
        <v>7</v>
      </c>
      <c r="J15" s="57">
        <v>4</v>
      </c>
      <c r="K15" s="57">
        <v>5</v>
      </c>
      <c r="L15" s="57">
        <v>4</v>
      </c>
      <c r="M15" s="57">
        <v>3</v>
      </c>
      <c r="N15" s="57">
        <v>6</v>
      </c>
      <c r="O15" s="57">
        <v>7</v>
      </c>
      <c r="P15" s="57">
        <v>3</v>
      </c>
      <c r="Q15" s="57">
        <v>4</v>
      </c>
      <c r="R15" s="57">
        <v>5</v>
      </c>
      <c r="S15" s="57">
        <v>4</v>
      </c>
      <c r="T15" s="57">
        <v>3</v>
      </c>
      <c r="U15" s="57">
        <v>7</v>
      </c>
    </row>
    <row r="16" spans="1:21" x14ac:dyDescent="0.25">
      <c r="A16" s="4" t="s">
        <v>23</v>
      </c>
      <c r="B16" s="58">
        <v>5</v>
      </c>
      <c r="C16" s="57">
        <v>5</v>
      </c>
      <c r="D16" s="57">
        <v>5</v>
      </c>
      <c r="E16" s="59">
        <v>5</v>
      </c>
      <c r="F16" s="59">
        <v>5</v>
      </c>
      <c r="G16" s="59">
        <v>5</v>
      </c>
      <c r="H16" s="58">
        <v>1</v>
      </c>
      <c r="I16" s="57">
        <v>1</v>
      </c>
      <c r="J16" s="57">
        <v>1</v>
      </c>
      <c r="K16" s="57">
        <v>1</v>
      </c>
      <c r="L16" s="57">
        <v>1</v>
      </c>
      <c r="M16" s="58">
        <v>3</v>
      </c>
      <c r="N16" s="57">
        <v>3</v>
      </c>
      <c r="O16" s="57">
        <v>3</v>
      </c>
      <c r="P16" s="59">
        <v>3</v>
      </c>
      <c r="Q16" s="57">
        <v>3</v>
      </c>
      <c r="R16" s="58">
        <v>5</v>
      </c>
      <c r="S16" s="59">
        <v>5</v>
      </c>
      <c r="T16" s="57">
        <v>6</v>
      </c>
      <c r="U16" s="57">
        <v>5</v>
      </c>
    </row>
    <row r="17" spans="1:21" x14ac:dyDescent="0.25">
      <c r="A17" s="4" t="s">
        <v>24</v>
      </c>
      <c r="B17" s="57"/>
      <c r="C17" s="58">
        <v>4</v>
      </c>
      <c r="D17" s="57">
        <v>4</v>
      </c>
      <c r="E17" s="59">
        <v>4</v>
      </c>
      <c r="F17" s="59">
        <v>4</v>
      </c>
      <c r="G17" s="59">
        <v>4</v>
      </c>
      <c r="H17" s="60">
        <v>4</v>
      </c>
      <c r="I17" s="58">
        <v>7</v>
      </c>
      <c r="J17" s="57">
        <v>7</v>
      </c>
      <c r="K17" s="61">
        <v>7</v>
      </c>
      <c r="L17" s="57">
        <v>7</v>
      </c>
      <c r="M17" s="62">
        <v>7</v>
      </c>
      <c r="N17" s="57">
        <v>6</v>
      </c>
      <c r="O17" s="57">
        <v>6</v>
      </c>
      <c r="P17" s="59">
        <v>6</v>
      </c>
      <c r="Q17" s="57">
        <v>6</v>
      </c>
      <c r="R17" s="57">
        <v>6</v>
      </c>
      <c r="S17" s="59">
        <v>6</v>
      </c>
      <c r="T17" s="63">
        <v>3</v>
      </c>
      <c r="U17" s="57">
        <v>3</v>
      </c>
    </row>
    <row r="18" spans="1:21" x14ac:dyDescent="0.25">
      <c r="A18" s="4" t="s">
        <v>25</v>
      </c>
      <c r="B18" s="57"/>
      <c r="C18" s="57"/>
      <c r="D18" s="58">
        <v>3</v>
      </c>
      <c r="E18" s="59">
        <v>3</v>
      </c>
      <c r="F18" s="59">
        <v>3</v>
      </c>
      <c r="G18" s="59">
        <v>3</v>
      </c>
      <c r="H18" s="60">
        <v>3</v>
      </c>
      <c r="I18" s="57">
        <v>3</v>
      </c>
      <c r="J18" s="58">
        <v>4</v>
      </c>
      <c r="K18" s="57">
        <v>4</v>
      </c>
      <c r="L18" s="57">
        <v>4</v>
      </c>
      <c r="M18" s="62">
        <v>4</v>
      </c>
      <c r="N18" s="57">
        <v>4</v>
      </c>
      <c r="O18" s="57">
        <v>7</v>
      </c>
      <c r="P18" s="59">
        <v>7</v>
      </c>
      <c r="Q18" s="57">
        <v>7</v>
      </c>
      <c r="R18" s="57">
        <v>7</v>
      </c>
      <c r="S18" s="59">
        <v>7</v>
      </c>
      <c r="T18" s="57">
        <v>7</v>
      </c>
      <c r="U18" s="57">
        <v>7</v>
      </c>
    </row>
    <row r="19" spans="1:21" x14ac:dyDescent="0.25">
      <c r="A19" s="4" t="s">
        <v>29</v>
      </c>
      <c r="B19" s="57"/>
      <c r="C19" s="57"/>
      <c r="D19" s="58"/>
      <c r="E19" s="58">
        <v>2</v>
      </c>
      <c r="F19" s="59">
        <v>2</v>
      </c>
      <c r="G19" s="59">
        <v>2</v>
      </c>
      <c r="H19" s="60">
        <v>2</v>
      </c>
      <c r="I19" s="57">
        <v>2</v>
      </c>
      <c r="J19" s="57">
        <v>2</v>
      </c>
      <c r="K19" s="58">
        <v>5</v>
      </c>
      <c r="L19" s="57">
        <v>5</v>
      </c>
      <c r="M19" s="62">
        <v>5</v>
      </c>
      <c r="N19" s="57">
        <v>5</v>
      </c>
      <c r="O19" s="57">
        <v>5</v>
      </c>
      <c r="P19" s="59">
        <v>5</v>
      </c>
      <c r="Q19" s="58">
        <v>4</v>
      </c>
      <c r="R19" s="57">
        <v>4</v>
      </c>
      <c r="S19" s="59">
        <v>4</v>
      </c>
      <c r="T19" s="57">
        <v>4</v>
      </c>
      <c r="U19" s="57">
        <v>4</v>
      </c>
    </row>
    <row r="20" spans="1:21" x14ac:dyDescent="0.25">
      <c r="A20" s="4" t="s">
        <v>26</v>
      </c>
      <c r="B20" s="57" t="s">
        <v>27</v>
      </c>
      <c r="C20" s="57" t="s">
        <v>27</v>
      </c>
      <c r="D20" s="57" t="s">
        <v>27</v>
      </c>
      <c r="E20" s="57" t="s">
        <v>27</v>
      </c>
      <c r="F20" s="57"/>
      <c r="G20" s="57"/>
      <c r="H20" s="57" t="s">
        <v>27</v>
      </c>
      <c r="I20" s="57" t="s">
        <v>27</v>
      </c>
      <c r="J20" s="57" t="s">
        <v>27</v>
      </c>
      <c r="K20" s="57" t="s">
        <v>27</v>
      </c>
      <c r="L20" s="57"/>
      <c r="M20" s="57" t="s">
        <v>27</v>
      </c>
      <c r="N20" s="57"/>
      <c r="O20" s="57"/>
      <c r="P20" s="57"/>
      <c r="Q20" s="57" t="s">
        <v>27</v>
      </c>
      <c r="R20" s="57" t="s">
        <v>27</v>
      </c>
      <c r="S20" s="57"/>
      <c r="T20" s="57" t="s">
        <v>27</v>
      </c>
      <c r="U20" s="57"/>
    </row>
    <row r="21" spans="1:21" x14ac:dyDescent="0.25">
      <c r="A21" s="4" t="s">
        <v>30</v>
      </c>
      <c r="B21" s="57">
        <v>5</v>
      </c>
      <c r="C21" s="57">
        <v>4</v>
      </c>
      <c r="D21" s="57">
        <v>3</v>
      </c>
      <c r="E21" s="57">
        <v>2</v>
      </c>
      <c r="F21" s="57">
        <v>1</v>
      </c>
      <c r="G21" s="57">
        <v>7</v>
      </c>
      <c r="H21" s="57">
        <v>4</v>
      </c>
      <c r="I21" s="57">
        <v>5</v>
      </c>
      <c r="J21" s="57">
        <v>3</v>
      </c>
      <c r="K21" s="57">
        <v>6</v>
      </c>
      <c r="L21" s="57">
        <v>7</v>
      </c>
      <c r="M21" s="57">
        <v>4</v>
      </c>
      <c r="N21" s="57">
        <v>5</v>
      </c>
      <c r="O21" s="57">
        <v>3</v>
      </c>
      <c r="P21" s="57"/>
      <c r="Q21" s="57"/>
      <c r="R21" s="57"/>
      <c r="S21" s="57"/>
      <c r="T21" s="57"/>
      <c r="U21" s="57"/>
    </row>
    <row r="23" spans="1:21" x14ac:dyDescent="0.25">
      <c r="A23" s="3" t="s">
        <v>55</v>
      </c>
      <c r="B23" s="3" t="s">
        <v>31</v>
      </c>
    </row>
    <row r="26" spans="1:21" x14ac:dyDescent="0.25">
      <c r="A26" s="3" t="s">
        <v>56</v>
      </c>
    </row>
    <row r="27" spans="1:21" x14ac:dyDescent="0.25">
      <c r="A27" s="4" t="s">
        <v>20</v>
      </c>
      <c r="B27" s="45" t="s">
        <v>21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spans="1:21" x14ac:dyDescent="0.25">
      <c r="A28" s="4" t="s">
        <v>22</v>
      </c>
      <c r="B28" s="5">
        <v>5</v>
      </c>
      <c r="C28" s="5">
        <v>4</v>
      </c>
      <c r="D28" s="5">
        <v>3</v>
      </c>
      <c r="E28" s="5">
        <v>2</v>
      </c>
      <c r="F28" s="5">
        <v>4</v>
      </c>
      <c r="G28" s="5">
        <v>5</v>
      </c>
      <c r="H28" s="5">
        <v>1</v>
      </c>
      <c r="I28" s="5">
        <v>7</v>
      </c>
      <c r="J28" s="5">
        <v>4</v>
      </c>
      <c r="K28" s="5">
        <v>5</v>
      </c>
      <c r="L28" s="5">
        <v>4</v>
      </c>
      <c r="M28" s="5">
        <v>3</v>
      </c>
      <c r="N28" s="5">
        <v>6</v>
      </c>
      <c r="O28" s="5">
        <v>7</v>
      </c>
      <c r="P28" s="5">
        <v>3</v>
      </c>
      <c r="Q28" s="5">
        <v>4</v>
      </c>
      <c r="R28" s="5">
        <v>5</v>
      </c>
      <c r="S28" s="5">
        <v>4</v>
      </c>
      <c r="T28" s="5">
        <v>3</v>
      </c>
      <c r="U28" s="5">
        <v>7</v>
      </c>
    </row>
    <row r="29" spans="1:21" x14ac:dyDescent="0.25">
      <c r="A29" s="4" t="s">
        <v>23</v>
      </c>
      <c r="B29" s="11">
        <v>5</v>
      </c>
      <c r="C29" s="5">
        <v>5</v>
      </c>
      <c r="D29" s="5">
        <v>5</v>
      </c>
      <c r="E29" s="41">
        <v>5</v>
      </c>
      <c r="F29" s="9">
        <v>5</v>
      </c>
      <c r="G29" s="9">
        <v>5</v>
      </c>
      <c r="H29" s="41">
        <v>5</v>
      </c>
      <c r="I29" s="41">
        <v>5</v>
      </c>
      <c r="J29" s="9">
        <v>5</v>
      </c>
      <c r="K29" s="9">
        <v>5</v>
      </c>
      <c r="L29" s="9">
        <v>5</v>
      </c>
      <c r="M29" s="56">
        <v>5</v>
      </c>
      <c r="N29" s="5">
        <v>5</v>
      </c>
      <c r="O29" s="11">
        <v>7</v>
      </c>
      <c r="P29" s="9">
        <v>7</v>
      </c>
      <c r="Q29" s="9">
        <v>7</v>
      </c>
      <c r="R29" s="41">
        <v>7</v>
      </c>
      <c r="S29" s="9">
        <v>7</v>
      </c>
      <c r="T29" s="9">
        <v>7</v>
      </c>
      <c r="U29" s="9">
        <v>7</v>
      </c>
    </row>
    <row r="30" spans="1:21" x14ac:dyDescent="0.25">
      <c r="A30" s="4" t="s">
        <v>24</v>
      </c>
      <c r="B30" s="5"/>
      <c r="C30" s="11">
        <v>4</v>
      </c>
      <c r="D30" s="5">
        <v>4</v>
      </c>
      <c r="E30" s="41">
        <v>4</v>
      </c>
      <c r="F30" s="9">
        <v>4</v>
      </c>
      <c r="G30" s="9">
        <v>4</v>
      </c>
      <c r="H30" s="56">
        <v>4</v>
      </c>
      <c r="I30" s="41">
        <v>4</v>
      </c>
      <c r="J30" s="9">
        <v>4</v>
      </c>
      <c r="K30" s="9">
        <v>4</v>
      </c>
      <c r="L30" s="9">
        <v>4</v>
      </c>
      <c r="M30" s="56">
        <v>4</v>
      </c>
      <c r="N30" s="5">
        <v>4</v>
      </c>
      <c r="O30" s="5">
        <v>4</v>
      </c>
      <c r="P30" s="9">
        <v>4</v>
      </c>
      <c r="Q30" s="9">
        <v>4</v>
      </c>
      <c r="R30" s="5">
        <v>4</v>
      </c>
      <c r="S30" s="9">
        <v>4</v>
      </c>
      <c r="T30" s="9">
        <v>4</v>
      </c>
      <c r="U30" s="9">
        <v>4</v>
      </c>
    </row>
    <row r="31" spans="1:21" x14ac:dyDescent="0.25">
      <c r="A31" s="4" t="s">
        <v>25</v>
      </c>
      <c r="B31" s="5"/>
      <c r="C31" s="5"/>
      <c r="D31" s="11">
        <v>3</v>
      </c>
      <c r="E31" s="41">
        <v>3</v>
      </c>
      <c r="F31" s="9">
        <v>3</v>
      </c>
      <c r="G31" s="9">
        <v>3</v>
      </c>
      <c r="H31" s="11">
        <v>1</v>
      </c>
      <c r="I31" s="41">
        <v>1</v>
      </c>
      <c r="J31" s="9">
        <v>1</v>
      </c>
      <c r="K31" s="9">
        <v>1</v>
      </c>
      <c r="L31" s="9">
        <v>1</v>
      </c>
      <c r="M31" s="11">
        <v>3</v>
      </c>
      <c r="N31" s="5">
        <v>3</v>
      </c>
      <c r="O31" s="5">
        <v>3</v>
      </c>
      <c r="P31" s="9">
        <v>3</v>
      </c>
      <c r="Q31" s="9">
        <v>3</v>
      </c>
      <c r="R31" s="5">
        <v>3</v>
      </c>
      <c r="S31" s="9">
        <v>3</v>
      </c>
      <c r="T31" s="9">
        <v>3</v>
      </c>
      <c r="U31" s="9">
        <v>3</v>
      </c>
    </row>
    <row r="32" spans="1:21" x14ac:dyDescent="0.25">
      <c r="A32" s="4" t="s">
        <v>29</v>
      </c>
      <c r="B32" s="5"/>
      <c r="C32" s="5"/>
      <c r="D32" s="11"/>
      <c r="E32" s="11">
        <v>2</v>
      </c>
      <c r="F32" s="9">
        <v>2</v>
      </c>
      <c r="G32" s="9">
        <v>2</v>
      </c>
      <c r="H32" s="41">
        <v>2</v>
      </c>
      <c r="I32" s="11">
        <v>7</v>
      </c>
      <c r="J32" s="9">
        <v>7</v>
      </c>
      <c r="K32" s="9">
        <v>7</v>
      </c>
      <c r="L32" s="9">
        <v>7</v>
      </c>
      <c r="M32" s="56">
        <v>7</v>
      </c>
      <c r="N32" s="11">
        <v>6</v>
      </c>
      <c r="O32" s="5">
        <v>6</v>
      </c>
      <c r="P32" s="9">
        <v>6</v>
      </c>
      <c r="Q32" s="9">
        <v>6</v>
      </c>
      <c r="R32" s="11">
        <v>5</v>
      </c>
      <c r="S32" s="9">
        <v>5</v>
      </c>
      <c r="T32" s="9">
        <v>5</v>
      </c>
      <c r="U32" s="9">
        <v>5</v>
      </c>
    </row>
    <row r="33" spans="1:21" x14ac:dyDescent="0.25">
      <c r="A33" s="4" t="s">
        <v>26</v>
      </c>
      <c r="B33" s="5" t="s">
        <v>27</v>
      </c>
      <c r="C33" s="5" t="s">
        <v>27</v>
      </c>
      <c r="D33" s="5" t="s">
        <v>27</v>
      </c>
      <c r="E33" s="5" t="s">
        <v>27</v>
      </c>
      <c r="F33" s="5"/>
      <c r="G33" s="5"/>
      <c r="H33" s="5" t="s">
        <v>27</v>
      </c>
      <c r="I33" s="5" t="s">
        <v>27</v>
      </c>
      <c r="J33" s="5"/>
      <c r="K33" s="5"/>
      <c r="L33" s="5"/>
      <c r="M33" s="5" t="s">
        <v>27</v>
      </c>
      <c r="N33" s="5" t="s">
        <v>27</v>
      </c>
      <c r="O33" s="5" t="s">
        <v>27</v>
      </c>
      <c r="P33" s="5"/>
      <c r="Q33" s="5"/>
      <c r="R33" s="5" t="s">
        <v>27</v>
      </c>
      <c r="S33" s="5"/>
      <c r="T33" s="5"/>
      <c r="U33" s="5"/>
    </row>
    <row r="35" spans="1:21" x14ac:dyDescent="0.25">
      <c r="A35" s="3" t="s">
        <v>55</v>
      </c>
      <c r="B35" s="3" t="s">
        <v>58</v>
      </c>
    </row>
  </sheetData>
  <mergeCells count="3">
    <mergeCell ref="B14:U14"/>
    <mergeCell ref="B27:U27"/>
    <mergeCell ref="B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F4F5-B16C-4155-A478-58B83A473D61}">
  <dimension ref="A1:M17"/>
  <sheetViews>
    <sheetView workbookViewId="0">
      <selection activeCell="I24" sqref="I24"/>
    </sheetView>
  </sheetViews>
  <sheetFormatPr defaultRowHeight="15" x14ac:dyDescent="0.25"/>
  <cols>
    <col min="1" max="1" width="12.5703125" bestFit="1" customWidth="1"/>
    <col min="2" max="13" width="5" customWidth="1"/>
  </cols>
  <sheetData>
    <row r="1" spans="1:13" ht="15.75" thickBot="1" x14ac:dyDescent="0.3">
      <c r="A1" s="26" t="s">
        <v>20</v>
      </c>
      <c r="B1" s="43" t="s">
        <v>21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ht="15.75" thickBot="1" x14ac:dyDescent="0.3">
      <c r="A2" s="12" t="s">
        <v>54</v>
      </c>
      <c r="B2" s="20">
        <v>6</v>
      </c>
      <c r="C2" s="7">
        <v>8</v>
      </c>
      <c r="D2" s="8">
        <v>3</v>
      </c>
      <c r="E2" s="15">
        <v>8</v>
      </c>
      <c r="F2" s="7">
        <v>6</v>
      </c>
      <c r="G2" s="7">
        <v>0</v>
      </c>
      <c r="H2" s="7">
        <v>3</v>
      </c>
      <c r="I2" s="7">
        <v>6</v>
      </c>
      <c r="J2" s="7">
        <v>3</v>
      </c>
      <c r="K2" s="7">
        <v>5</v>
      </c>
      <c r="L2" s="7">
        <v>3</v>
      </c>
      <c r="M2" s="8">
        <v>6</v>
      </c>
    </row>
    <row r="3" spans="1:13" x14ac:dyDescent="0.25">
      <c r="A3" s="27" t="s">
        <v>23</v>
      </c>
      <c r="B3" s="21">
        <v>6</v>
      </c>
      <c r="C3" s="22">
        <v>6</v>
      </c>
      <c r="D3" s="23">
        <v>6</v>
      </c>
      <c r="E3" s="24">
        <v>6</v>
      </c>
      <c r="F3" s="25">
        <v>6</v>
      </c>
      <c r="G3" s="22">
        <v>6</v>
      </c>
      <c r="H3" s="25">
        <v>6</v>
      </c>
      <c r="I3" s="25">
        <v>6</v>
      </c>
      <c r="J3" s="25">
        <v>6</v>
      </c>
      <c r="K3" s="22">
        <v>6</v>
      </c>
      <c r="L3" s="25">
        <v>6</v>
      </c>
      <c r="M3" s="28">
        <v>6</v>
      </c>
    </row>
    <row r="4" spans="1:13" x14ac:dyDescent="0.25">
      <c r="A4" s="29" t="s">
        <v>24</v>
      </c>
      <c r="B4" s="17"/>
      <c r="C4" s="11">
        <v>8</v>
      </c>
      <c r="D4" s="16">
        <v>8</v>
      </c>
      <c r="E4" s="13">
        <v>8</v>
      </c>
      <c r="F4" s="9">
        <v>8</v>
      </c>
      <c r="G4" s="11">
        <v>0</v>
      </c>
      <c r="H4" s="9">
        <v>0</v>
      </c>
      <c r="I4" s="9">
        <v>0</v>
      </c>
      <c r="J4" s="9">
        <v>0</v>
      </c>
      <c r="K4" s="11">
        <v>5</v>
      </c>
      <c r="L4" s="9">
        <v>5</v>
      </c>
      <c r="M4" s="30">
        <v>5</v>
      </c>
    </row>
    <row r="5" spans="1:13" ht="15.75" thickBot="1" x14ac:dyDescent="0.3">
      <c r="A5" s="31" t="s">
        <v>25</v>
      </c>
      <c r="B5" s="18"/>
      <c r="C5" s="6"/>
      <c r="D5" s="19">
        <v>3</v>
      </c>
      <c r="E5" s="14">
        <v>3</v>
      </c>
      <c r="F5" s="10">
        <v>3</v>
      </c>
      <c r="G5" s="6">
        <v>3</v>
      </c>
      <c r="H5" s="10">
        <v>3</v>
      </c>
      <c r="I5" s="10">
        <v>3</v>
      </c>
      <c r="J5" s="10">
        <v>3</v>
      </c>
      <c r="K5" s="6">
        <v>3</v>
      </c>
      <c r="L5" s="10">
        <v>3</v>
      </c>
      <c r="M5" s="32">
        <v>3</v>
      </c>
    </row>
    <row r="6" spans="1:13" ht="15.75" thickBot="1" x14ac:dyDescent="0.3">
      <c r="A6" s="12" t="s">
        <v>26</v>
      </c>
      <c r="B6" s="20" t="s">
        <v>27</v>
      </c>
      <c r="C6" s="7" t="s">
        <v>27</v>
      </c>
      <c r="D6" s="8" t="s">
        <v>27</v>
      </c>
      <c r="E6" s="15"/>
      <c r="F6" s="7"/>
      <c r="G6" s="7" t="s">
        <v>27</v>
      </c>
      <c r="H6" s="7"/>
      <c r="I6" s="7"/>
      <c r="J6" s="7"/>
      <c r="K6" s="7" t="s">
        <v>27</v>
      </c>
      <c r="L6" s="7"/>
      <c r="M6" s="8"/>
    </row>
    <row r="8" spans="1:13" x14ac:dyDescent="0.25">
      <c r="A8" t="s">
        <v>28</v>
      </c>
    </row>
    <row r="10" spans="1:13" ht="15.75" thickBot="1" x14ac:dyDescent="0.3"/>
    <row r="11" spans="1:13" ht="15.75" thickBot="1" x14ac:dyDescent="0.3">
      <c r="A11" s="26" t="s">
        <v>20</v>
      </c>
      <c r="B11" s="43" t="s">
        <v>21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4"/>
    </row>
    <row r="12" spans="1:13" ht="15.75" thickBot="1" x14ac:dyDescent="0.3">
      <c r="A12" s="12" t="s">
        <v>54</v>
      </c>
      <c r="B12" s="20">
        <v>6</v>
      </c>
      <c r="C12" s="7">
        <v>8</v>
      </c>
      <c r="D12" s="8">
        <v>3</v>
      </c>
      <c r="E12" s="15">
        <v>8</v>
      </c>
      <c r="F12" s="7">
        <v>6</v>
      </c>
      <c r="G12" s="7">
        <v>0</v>
      </c>
      <c r="H12" s="7">
        <v>3</v>
      </c>
      <c r="I12" s="7">
        <v>6</v>
      </c>
      <c r="J12" s="7">
        <v>3</v>
      </c>
      <c r="K12" s="7">
        <v>5</v>
      </c>
      <c r="L12" s="7">
        <v>3</v>
      </c>
      <c r="M12" s="8">
        <v>6</v>
      </c>
    </row>
    <row r="13" spans="1:13" x14ac:dyDescent="0.25">
      <c r="A13" s="27" t="s">
        <v>23</v>
      </c>
      <c r="B13" s="21">
        <v>6</v>
      </c>
      <c r="C13" s="22">
        <v>6</v>
      </c>
      <c r="D13" s="23">
        <v>6</v>
      </c>
      <c r="E13" s="24">
        <v>6</v>
      </c>
      <c r="F13" s="25">
        <v>6</v>
      </c>
      <c r="G13" s="22">
        <v>6</v>
      </c>
      <c r="H13" s="25">
        <v>6</v>
      </c>
      <c r="I13" s="25">
        <v>6</v>
      </c>
      <c r="J13" s="25">
        <v>6</v>
      </c>
      <c r="K13" s="22">
        <v>6</v>
      </c>
      <c r="L13" s="25">
        <v>6</v>
      </c>
      <c r="M13" s="28">
        <v>6</v>
      </c>
    </row>
    <row r="14" spans="1:13" x14ac:dyDescent="0.25">
      <c r="A14" s="29" t="s">
        <v>24</v>
      </c>
      <c r="B14" s="17"/>
      <c r="C14" s="11">
        <v>8</v>
      </c>
      <c r="D14" s="16">
        <v>8</v>
      </c>
      <c r="E14" s="13">
        <v>8</v>
      </c>
      <c r="F14" s="9">
        <v>8</v>
      </c>
      <c r="G14" s="41">
        <v>8</v>
      </c>
      <c r="H14" s="9">
        <v>8</v>
      </c>
      <c r="I14" s="9">
        <v>8</v>
      </c>
      <c r="J14" s="9">
        <v>8</v>
      </c>
      <c r="K14" s="41">
        <v>8</v>
      </c>
      <c r="L14" s="9">
        <v>8</v>
      </c>
      <c r="M14" s="30">
        <v>8</v>
      </c>
    </row>
    <row r="15" spans="1:13" x14ac:dyDescent="0.25">
      <c r="A15" s="31" t="s">
        <v>25</v>
      </c>
      <c r="B15" s="18"/>
      <c r="C15" s="6"/>
      <c r="D15" s="19">
        <v>3</v>
      </c>
      <c r="E15" s="14">
        <v>3</v>
      </c>
      <c r="F15" s="10">
        <v>3</v>
      </c>
      <c r="G15" s="6">
        <v>3</v>
      </c>
      <c r="H15" s="10">
        <v>3</v>
      </c>
      <c r="I15" s="10">
        <v>3</v>
      </c>
      <c r="J15" s="10">
        <v>3</v>
      </c>
      <c r="K15" s="6">
        <v>3</v>
      </c>
      <c r="L15" s="10">
        <v>3</v>
      </c>
      <c r="M15" s="32">
        <v>3</v>
      </c>
    </row>
    <row r="16" spans="1:13" ht="15.75" thickBot="1" x14ac:dyDescent="0.3">
      <c r="A16" s="33" t="s">
        <v>29</v>
      </c>
      <c r="B16" s="34"/>
      <c r="C16" s="35"/>
      <c r="D16" s="36"/>
      <c r="E16" s="37"/>
      <c r="F16" s="38"/>
      <c r="G16" s="40">
        <v>0</v>
      </c>
      <c r="H16" s="38">
        <v>0</v>
      </c>
      <c r="I16" s="38">
        <v>0</v>
      </c>
      <c r="J16" s="38">
        <v>0</v>
      </c>
      <c r="K16" s="40">
        <v>5</v>
      </c>
      <c r="L16" s="38">
        <v>5</v>
      </c>
      <c r="M16" s="39">
        <v>5</v>
      </c>
    </row>
    <row r="17" spans="1:13" ht="15.75" thickBot="1" x14ac:dyDescent="0.3">
      <c r="A17" s="12" t="s">
        <v>26</v>
      </c>
      <c r="B17" s="20" t="s">
        <v>27</v>
      </c>
      <c r="C17" s="7" t="s">
        <v>27</v>
      </c>
      <c r="D17" s="8" t="s">
        <v>27</v>
      </c>
      <c r="E17" s="15"/>
      <c r="F17" s="7"/>
      <c r="G17" s="7" t="s">
        <v>27</v>
      </c>
      <c r="H17" s="7"/>
      <c r="I17" s="7"/>
      <c r="J17" s="7"/>
      <c r="K17" s="7" t="s">
        <v>27</v>
      </c>
      <c r="L17" s="7"/>
      <c r="M17" s="8"/>
    </row>
  </sheetData>
  <mergeCells count="2">
    <mergeCell ref="B1:M1"/>
    <mergeCell ref="B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workbookViewId="0">
      <selection activeCell="D53" sqref="D53"/>
    </sheetView>
  </sheetViews>
  <sheetFormatPr defaultRowHeight="15" x14ac:dyDescent="0.25"/>
  <cols>
    <col min="1" max="16384" width="9.140625" style="1"/>
  </cols>
  <sheetData>
    <row r="1" spans="1:9" x14ac:dyDescent="0.25">
      <c r="A1" s="47" t="s">
        <v>7</v>
      </c>
    </row>
    <row r="2" spans="1:9" x14ac:dyDescent="0.25">
      <c r="A2" s="45" t="s">
        <v>0</v>
      </c>
      <c r="B2" s="45"/>
      <c r="C2" s="45" t="s">
        <v>1</v>
      </c>
      <c r="D2" s="45"/>
      <c r="E2" s="45"/>
      <c r="F2" s="45"/>
      <c r="G2" s="45"/>
      <c r="H2" s="45"/>
      <c r="I2" s="45"/>
    </row>
    <row r="3" spans="1:9" x14ac:dyDescent="0.25">
      <c r="A3" s="45"/>
      <c r="B3" s="45"/>
      <c r="C3" s="46">
        <v>24</v>
      </c>
      <c r="D3" s="46">
        <v>29</v>
      </c>
      <c r="E3" s="46">
        <v>9</v>
      </c>
      <c r="F3" s="46">
        <v>19</v>
      </c>
      <c r="G3" s="46">
        <v>69</v>
      </c>
      <c r="H3" s="46">
        <v>39</v>
      </c>
      <c r="I3" s="46">
        <v>39</v>
      </c>
    </row>
    <row r="4" spans="1:9" x14ac:dyDescent="0.25">
      <c r="A4" s="5" t="s">
        <v>2</v>
      </c>
      <c r="B4" s="5">
        <v>39</v>
      </c>
      <c r="C4" s="5">
        <v>24</v>
      </c>
      <c r="D4" s="5">
        <v>29</v>
      </c>
      <c r="E4" s="5">
        <v>9</v>
      </c>
      <c r="F4" s="5">
        <v>19</v>
      </c>
      <c r="G4" s="5" t="s">
        <v>35</v>
      </c>
      <c r="H4" s="5">
        <v>39</v>
      </c>
      <c r="I4" s="5">
        <v>39</v>
      </c>
    </row>
    <row r="5" spans="1:9" x14ac:dyDescent="0.25">
      <c r="A5" s="5" t="s">
        <v>3</v>
      </c>
      <c r="B5" s="5">
        <v>35</v>
      </c>
      <c r="C5" s="5">
        <v>24</v>
      </c>
      <c r="D5" s="5">
        <v>29</v>
      </c>
      <c r="E5" s="5">
        <v>9</v>
      </c>
      <c r="F5" s="5">
        <v>19</v>
      </c>
      <c r="G5" s="5">
        <v>30</v>
      </c>
      <c r="H5" s="5" t="s">
        <v>39</v>
      </c>
      <c r="I5" s="5">
        <v>39</v>
      </c>
    </row>
    <row r="6" spans="1:9" x14ac:dyDescent="0.25">
      <c r="A6" s="5" t="s">
        <v>4</v>
      </c>
      <c r="B6" s="5">
        <v>28</v>
      </c>
      <c r="C6" s="5">
        <v>24</v>
      </c>
      <c r="D6" s="5" t="s">
        <v>36</v>
      </c>
      <c r="E6" s="5">
        <v>9</v>
      </c>
      <c r="F6" s="5">
        <v>19</v>
      </c>
      <c r="G6" s="5">
        <v>30</v>
      </c>
      <c r="H6" s="5">
        <v>4</v>
      </c>
      <c r="I6" s="5">
        <v>39</v>
      </c>
    </row>
    <row r="7" spans="1:9" x14ac:dyDescent="0.25">
      <c r="A7" s="5" t="s">
        <v>5</v>
      </c>
      <c r="B7" s="5">
        <v>15</v>
      </c>
      <c r="C7" s="5" t="s">
        <v>38</v>
      </c>
      <c r="D7" s="5">
        <v>1</v>
      </c>
      <c r="E7" s="5">
        <v>9</v>
      </c>
      <c r="F7" s="5">
        <v>19</v>
      </c>
      <c r="G7" s="5">
        <v>30</v>
      </c>
      <c r="H7" s="5">
        <v>4</v>
      </c>
      <c r="I7" s="5">
        <v>39</v>
      </c>
    </row>
    <row r="8" spans="1:9" x14ac:dyDescent="0.25">
      <c r="A8" s="5" t="s">
        <v>6</v>
      </c>
      <c r="B8" s="5">
        <v>16</v>
      </c>
      <c r="C8" s="5">
        <v>9</v>
      </c>
      <c r="D8" s="5">
        <v>1</v>
      </c>
      <c r="E8" s="5">
        <v>9</v>
      </c>
      <c r="F8" s="5" t="s">
        <v>37</v>
      </c>
      <c r="G8" s="5">
        <v>30</v>
      </c>
      <c r="H8" s="5">
        <v>4</v>
      </c>
      <c r="I8" s="5">
        <v>39</v>
      </c>
    </row>
    <row r="10" spans="1:9" x14ac:dyDescent="0.25">
      <c r="A10" s="47" t="s">
        <v>7</v>
      </c>
      <c r="B10" s="42" t="s">
        <v>40</v>
      </c>
      <c r="C10" s="42"/>
      <c r="D10" s="42"/>
      <c r="E10" s="42"/>
      <c r="F10" s="42"/>
      <c r="G10" s="42"/>
      <c r="H10" s="42"/>
      <c r="I10" s="42"/>
    </row>
    <row r="11" spans="1:9" x14ac:dyDescent="0.25">
      <c r="B11" s="2"/>
      <c r="C11" s="2"/>
      <c r="D11" s="2"/>
      <c r="E11" s="2"/>
      <c r="F11" s="2"/>
      <c r="G11" s="2"/>
      <c r="H11" s="2"/>
      <c r="I11" s="2"/>
    </row>
    <row r="13" spans="1:9" x14ac:dyDescent="0.25">
      <c r="A13" s="47" t="s">
        <v>32</v>
      </c>
    </row>
    <row r="14" spans="1:9" x14ac:dyDescent="0.25">
      <c r="A14" s="45" t="s">
        <v>0</v>
      </c>
      <c r="B14" s="45"/>
      <c r="C14" s="45" t="s">
        <v>1</v>
      </c>
      <c r="D14" s="45"/>
      <c r="E14" s="45"/>
      <c r="F14" s="45"/>
      <c r="G14" s="45"/>
      <c r="H14" s="45"/>
      <c r="I14" s="45"/>
    </row>
    <row r="15" spans="1:9" x14ac:dyDescent="0.25">
      <c r="A15" s="45"/>
      <c r="B15" s="45"/>
      <c r="C15" s="46">
        <v>24</v>
      </c>
      <c r="D15" s="46">
        <v>29</v>
      </c>
      <c r="E15" s="46">
        <v>9</v>
      </c>
      <c r="F15" s="46">
        <v>19</v>
      </c>
      <c r="G15" s="46">
        <v>69</v>
      </c>
      <c r="H15" s="46">
        <v>39</v>
      </c>
      <c r="I15" s="46">
        <v>39</v>
      </c>
    </row>
    <row r="16" spans="1:9" x14ac:dyDescent="0.25">
      <c r="A16" s="5" t="s">
        <v>2</v>
      </c>
      <c r="B16" s="5">
        <v>39</v>
      </c>
      <c r="C16" s="5">
        <v>24</v>
      </c>
      <c r="D16" s="5">
        <v>29</v>
      </c>
      <c r="E16" s="5">
        <v>9</v>
      </c>
      <c r="F16" s="5">
        <v>19</v>
      </c>
      <c r="G16" s="5" t="s">
        <v>35</v>
      </c>
      <c r="H16" s="5">
        <v>39</v>
      </c>
      <c r="I16" s="5">
        <v>39</v>
      </c>
    </row>
    <row r="17" spans="1:9" x14ac:dyDescent="0.25">
      <c r="A17" s="5" t="s">
        <v>3</v>
      </c>
      <c r="B17" s="5">
        <v>35</v>
      </c>
      <c r="C17" s="5">
        <v>24</v>
      </c>
      <c r="D17" s="5">
        <v>29</v>
      </c>
      <c r="E17" s="5">
        <v>9</v>
      </c>
      <c r="F17" s="5">
        <v>19</v>
      </c>
      <c r="G17" s="5">
        <v>30</v>
      </c>
      <c r="H17" s="5" t="s">
        <v>43</v>
      </c>
      <c r="I17" s="5">
        <v>39</v>
      </c>
    </row>
    <row r="18" spans="1:9" x14ac:dyDescent="0.25">
      <c r="A18" s="5" t="s">
        <v>4</v>
      </c>
      <c r="B18" s="5">
        <v>28</v>
      </c>
      <c r="C18" s="5">
        <v>24</v>
      </c>
      <c r="D18" s="5">
        <v>29</v>
      </c>
      <c r="E18" s="5">
        <v>9</v>
      </c>
      <c r="F18" s="5">
        <v>19</v>
      </c>
      <c r="G18" s="5">
        <v>30</v>
      </c>
      <c r="H18" s="5">
        <v>4</v>
      </c>
      <c r="I18" s="5" t="s">
        <v>44</v>
      </c>
    </row>
    <row r="19" spans="1:9" x14ac:dyDescent="0.25">
      <c r="A19" s="5" t="s">
        <v>5</v>
      </c>
      <c r="B19" s="5">
        <v>15</v>
      </c>
      <c r="C19" s="5" t="s">
        <v>38</v>
      </c>
      <c r="D19" s="5">
        <v>29</v>
      </c>
      <c r="E19" s="5">
        <v>9</v>
      </c>
      <c r="F19" s="5">
        <v>19</v>
      </c>
      <c r="G19" s="5">
        <v>30</v>
      </c>
      <c r="H19" s="5">
        <v>4</v>
      </c>
      <c r="I19" s="5">
        <v>11</v>
      </c>
    </row>
    <row r="20" spans="1:9" x14ac:dyDescent="0.25">
      <c r="A20" s="5" t="s">
        <v>6</v>
      </c>
      <c r="B20" s="5">
        <v>16</v>
      </c>
      <c r="C20" s="5">
        <v>9</v>
      </c>
      <c r="D20" s="5" t="s">
        <v>42</v>
      </c>
      <c r="E20" s="5">
        <v>9</v>
      </c>
      <c r="F20" s="5">
        <v>19</v>
      </c>
      <c r="G20" s="5">
        <v>30</v>
      </c>
      <c r="H20" s="5">
        <v>4</v>
      </c>
      <c r="I20" s="5">
        <v>11</v>
      </c>
    </row>
    <row r="22" spans="1:9" x14ac:dyDescent="0.25">
      <c r="A22" s="47" t="s">
        <v>32</v>
      </c>
      <c r="B22" s="42" t="s">
        <v>41</v>
      </c>
      <c r="C22" s="42"/>
      <c r="D22" s="42"/>
      <c r="E22" s="42"/>
      <c r="F22" s="42"/>
      <c r="G22" s="42"/>
      <c r="H22" s="42"/>
      <c r="I22" s="42"/>
    </row>
    <row r="25" spans="1:9" x14ac:dyDescent="0.25">
      <c r="A25" s="47" t="s">
        <v>34</v>
      </c>
    </row>
    <row r="26" spans="1:9" x14ac:dyDescent="0.25">
      <c r="A26" s="45" t="s">
        <v>0</v>
      </c>
      <c r="B26" s="45"/>
      <c r="C26" s="45" t="s">
        <v>1</v>
      </c>
      <c r="D26" s="45"/>
      <c r="E26" s="45"/>
      <c r="F26" s="45"/>
      <c r="G26" s="45"/>
      <c r="H26" s="45"/>
      <c r="I26" s="45"/>
    </row>
    <row r="27" spans="1:9" x14ac:dyDescent="0.25">
      <c r="A27" s="45"/>
      <c r="B27" s="45"/>
      <c r="C27" s="46">
        <v>24</v>
      </c>
      <c r="D27" s="46">
        <v>29</v>
      </c>
      <c r="E27" s="46">
        <v>9</v>
      </c>
      <c r="F27" s="46">
        <v>19</v>
      </c>
      <c r="G27" s="46">
        <v>69</v>
      </c>
      <c r="H27" s="46">
        <v>39</v>
      </c>
      <c r="I27" s="46">
        <v>39</v>
      </c>
    </row>
    <row r="28" spans="1:9" x14ac:dyDescent="0.25">
      <c r="A28" s="5" t="s">
        <v>2</v>
      </c>
      <c r="B28" s="5">
        <v>39</v>
      </c>
      <c r="C28" s="5">
        <v>24</v>
      </c>
      <c r="D28" s="5">
        <v>29</v>
      </c>
      <c r="E28" s="5">
        <v>9</v>
      </c>
      <c r="F28" s="5">
        <v>19</v>
      </c>
      <c r="G28" s="5">
        <v>69</v>
      </c>
      <c r="H28" s="5" t="s">
        <v>48</v>
      </c>
      <c r="I28" s="5">
        <v>39</v>
      </c>
    </row>
    <row r="29" spans="1:9" x14ac:dyDescent="0.25">
      <c r="A29" s="5" t="s">
        <v>3</v>
      </c>
      <c r="B29" s="5">
        <v>35</v>
      </c>
      <c r="C29" s="5">
        <v>24</v>
      </c>
      <c r="D29" s="5">
        <v>29</v>
      </c>
      <c r="E29" s="5">
        <v>9</v>
      </c>
      <c r="F29" s="5">
        <v>19</v>
      </c>
      <c r="G29" s="5">
        <v>69</v>
      </c>
      <c r="H29" s="5">
        <v>0</v>
      </c>
      <c r="I29" s="5" t="s">
        <v>43</v>
      </c>
    </row>
    <row r="30" spans="1:9" x14ac:dyDescent="0.25">
      <c r="A30" s="5" t="s">
        <v>4</v>
      </c>
      <c r="B30" s="5">
        <v>28</v>
      </c>
      <c r="C30" s="5">
        <v>24</v>
      </c>
      <c r="D30" s="5" t="s">
        <v>45</v>
      </c>
      <c r="E30" s="5">
        <v>9</v>
      </c>
      <c r="F30" s="5">
        <v>19</v>
      </c>
      <c r="G30" s="5">
        <v>69</v>
      </c>
      <c r="H30" s="5">
        <v>0</v>
      </c>
      <c r="I30" s="5">
        <v>4</v>
      </c>
    </row>
    <row r="31" spans="1:9" x14ac:dyDescent="0.25">
      <c r="A31" s="5" t="s">
        <v>5</v>
      </c>
      <c r="B31" s="5">
        <v>15</v>
      </c>
      <c r="C31" s="5">
        <v>24</v>
      </c>
      <c r="D31" s="5">
        <v>1</v>
      </c>
      <c r="E31" s="5">
        <v>9</v>
      </c>
      <c r="F31" s="5" t="s">
        <v>47</v>
      </c>
      <c r="G31" s="5">
        <v>69</v>
      </c>
      <c r="H31" s="5">
        <v>0</v>
      </c>
      <c r="I31" s="5">
        <v>4</v>
      </c>
    </row>
    <row r="32" spans="1:9" x14ac:dyDescent="0.25">
      <c r="A32" s="5" t="s">
        <v>6</v>
      </c>
      <c r="B32" s="5">
        <v>16</v>
      </c>
      <c r="C32" s="5" t="s">
        <v>46</v>
      </c>
      <c r="D32" s="5">
        <v>1</v>
      </c>
      <c r="E32" s="5">
        <v>9</v>
      </c>
      <c r="F32" s="5">
        <v>4</v>
      </c>
      <c r="G32" s="5">
        <v>69</v>
      </c>
      <c r="H32" s="5">
        <v>0</v>
      </c>
      <c r="I32" s="5">
        <v>4</v>
      </c>
    </row>
    <row r="34" spans="1:9" x14ac:dyDescent="0.25">
      <c r="A34" s="47" t="s">
        <v>34</v>
      </c>
      <c r="B34" s="42" t="s">
        <v>49</v>
      </c>
      <c r="C34" s="42"/>
      <c r="D34" s="42"/>
      <c r="E34" s="42"/>
      <c r="F34" s="42"/>
      <c r="G34" s="42"/>
      <c r="H34" s="42"/>
      <c r="I34" s="42"/>
    </row>
    <row r="35" spans="1:9" x14ac:dyDescent="0.25">
      <c r="A35" s="47"/>
      <c r="B35" s="2"/>
      <c r="C35" s="2"/>
      <c r="D35" s="2"/>
      <c r="E35" s="2"/>
      <c r="F35" s="2"/>
      <c r="G35" s="2"/>
      <c r="H35" s="2"/>
      <c r="I35" s="2"/>
    </row>
    <row r="37" spans="1:9" x14ac:dyDescent="0.25">
      <c r="A37" s="47" t="s">
        <v>33</v>
      </c>
    </row>
    <row r="38" spans="1:9" x14ac:dyDescent="0.25">
      <c r="A38" s="45" t="s">
        <v>0</v>
      </c>
      <c r="B38" s="45"/>
      <c r="C38" s="45" t="s">
        <v>1</v>
      </c>
      <c r="D38" s="45"/>
      <c r="E38" s="45"/>
      <c r="F38" s="45"/>
      <c r="G38" s="45"/>
      <c r="H38" s="45"/>
      <c r="I38" s="45"/>
    </row>
    <row r="39" spans="1:9" x14ac:dyDescent="0.25">
      <c r="A39" s="45"/>
      <c r="B39" s="45"/>
      <c r="C39" s="46">
        <v>24</v>
      </c>
      <c r="D39" s="46">
        <v>29</v>
      </c>
      <c r="E39" s="46">
        <v>9</v>
      </c>
      <c r="F39" s="46">
        <v>19</v>
      </c>
      <c r="G39" s="46">
        <v>69</v>
      </c>
      <c r="H39" s="46">
        <v>39</v>
      </c>
      <c r="I39" s="46">
        <v>39</v>
      </c>
    </row>
    <row r="40" spans="1:9" x14ac:dyDescent="0.25">
      <c r="A40" s="5" t="s">
        <v>2</v>
      </c>
      <c r="B40" s="5">
        <v>39</v>
      </c>
      <c r="C40" s="5">
        <v>24</v>
      </c>
      <c r="D40" s="5">
        <v>29</v>
      </c>
      <c r="E40" s="5">
        <v>9</v>
      </c>
      <c r="F40" s="5">
        <v>19</v>
      </c>
      <c r="G40" s="5" t="s">
        <v>35</v>
      </c>
      <c r="H40" s="5">
        <v>39</v>
      </c>
      <c r="I40" s="5">
        <v>39</v>
      </c>
    </row>
    <row r="41" spans="1:9" x14ac:dyDescent="0.25">
      <c r="A41" s="5" t="s">
        <v>3</v>
      </c>
      <c r="B41" s="5">
        <v>35</v>
      </c>
      <c r="C41" s="5">
        <v>24</v>
      </c>
      <c r="D41" s="5">
        <v>29</v>
      </c>
      <c r="E41" s="5">
        <v>9</v>
      </c>
      <c r="F41" s="5">
        <v>19</v>
      </c>
      <c r="G41" s="5">
        <v>30</v>
      </c>
      <c r="H41" s="5" t="s">
        <v>43</v>
      </c>
      <c r="I41" s="5">
        <v>39</v>
      </c>
    </row>
    <row r="42" spans="1:9" x14ac:dyDescent="0.25">
      <c r="A42" s="5" t="s">
        <v>4</v>
      </c>
      <c r="B42" s="5">
        <v>28</v>
      </c>
      <c r="C42" s="5">
        <v>24</v>
      </c>
      <c r="D42" s="5">
        <v>29</v>
      </c>
      <c r="E42" s="5">
        <v>9</v>
      </c>
      <c r="F42" s="5">
        <v>19</v>
      </c>
      <c r="G42" s="5">
        <v>30</v>
      </c>
      <c r="H42" s="5">
        <v>4</v>
      </c>
      <c r="I42" s="5" t="s">
        <v>44</v>
      </c>
    </row>
    <row r="43" spans="1:9" x14ac:dyDescent="0.25">
      <c r="A43" s="5" t="s">
        <v>5</v>
      </c>
      <c r="B43" s="5">
        <v>15</v>
      </c>
      <c r="C43" s="5">
        <v>24</v>
      </c>
      <c r="D43" s="5">
        <v>29</v>
      </c>
      <c r="E43" s="5">
        <v>9</v>
      </c>
      <c r="F43" s="5">
        <v>19</v>
      </c>
      <c r="G43" s="5" t="s">
        <v>50</v>
      </c>
      <c r="H43" s="5">
        <v>4</v>
      </c>
      <c r="I43" s="5">
        <v>11</v>
      </c>
    </row>
    <row r="44" spans="1:9" x14ac:dyDescent="0.25">
      <c r="A44" s="5" t="s">
        <v>6</v>
      </c>
      <c r="B44" s="5">
        <v>16</v>
      </c>
      <c r="C44" s="5">
        <v>24</v>
      </c>
      <c r="D44" s="5" t="s">
        <v>42</v>
      </c>
      <c r="E44" s="5">
        <v>9</v>
      </c>
      <c r="F44" s="5">
        <v>19</v>
      </c>
      <c r="G44" s="5">
        <v>15</v>
      </c>
      <c r="H44" s="5">
        <v>4</v>
      </c>
      <c r="I44" s="5">
        <v>11</v>
      </c>
    </row>
    <row r="46" spans="1:9" x14ac:dyDescent="0.25">
      <c r="A46" s="47" t="s">
        <v>33</v>
      </c>
      <c r="B46" s="48" t="s">
        <v>51</v>
      </c>
      <c r="C46" s="42"/>
      <c r="D46" s="42"/>
      <c r="E46" s="42"/>
      <c r="F46" s="42"/>
      <c r="G46" s="42"/>
      <c r="H46" s="42"/>
      <c r="I46" s="42"/>
    </row>
  </sheetData>
  <mergeCells count="12">
    <mergeCell ref="B46:I46"/>
    <mergeCell ref="B22:I22"/>
    <mergeCell ref="B34:I34"/>
    <mergeCell ref="A2:B3"/>
    <mergeCell ref="A14:B15"/>
    <mergeCell ref="A26:B27"/>
    <mergeCell ref="A38:B39"/>
    <mergeCell ref="C14:I14"/>
    <mergeCell ref="C26:I26"/>
    <mergeCell ref="C38:I38"/>
    <mergeCell ref="C2:I2"/>
    <mergeCell ref="B10:I10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4BF0-187C-4594-B405-659FD377FD68}">
  <dimension ref="A1:U65"/>
  <sheetViews>
    <sheetView zoomScaleNormal="100" workbookViewId="0">
      <selection activeCell="J62" sqref="J62:J65"/>
    </sheetView>
  </sheetViews>
  <sheetFormatPr defaultRowHeight="15" x14ac:dyDescent="0.25"/>
  <cols>
    <col min="11" max="11" width="24.42578125" style="52" bestFit="1" customWidth="1"/>
    <col min="12" max="12" width="27" bestFit="1" customWidth="1"/>
    <col min="13" max="13" width="13.28515625" bestFit="1" customWidth="1"/>
    <col min="19" max="19" width="8.7109375" style="3" customWidth="1"/>
    <col min="20" max="20" width="11.7109375" bestFit="1" customWidth="1"/>
  </cols>
  <sheetData>
    <row r="1" spans="1:21" x14ac:dyDescent="0.25">
      <c r="A1" t="s">
        <v>7</v>
      </c>
      <c r="R1" s="3"/>
      <c r="T1" s="51" t="s">
        <v>15</v>
      </c>
      <c r="U1" s="51">
        <v>4</v>
      </c>
    </row>
    <row r="2" spans="1:21" x14ac:dyDescent="0.25">
      <c r="A2" s="45" t="s">
        <v>0</v>
      </c>
      <c r="B2" s="45"/>
      <c r="C2" s="45"/>
      <c r="D2" s="45" t="s">
        <v>1</v>
      </c>
      <c r="E2" s="45"/>
      <c r="F2" s="45"/>
      <c r="G2" s="45"/>
      <c r="H2" s="45"/>
      <c r="I2" s="45"/>
    </row>
    <row r="3" spans="1:21" x14ac:dyDescent="0.25">
      <c r="A3" s="45"/>
      <c r="B3" s="45"/>
      <c r="C3" s="45"/>
      <c r="D3" s="5">
        <v>30</v>
      </c>
      <c r="E3" s="5">
        <v>35</v>
      </c>
      <c r="F3" s="5">
        <v>15</v>
      </c>
      <c r="G3" s="5">
        <v>25</v>
      </c>
      <c r="H3" s="5">
        <v>75</v>
      </c>
      <c r="I3" s="5">
        <v>45</v>
      </c>
      <c r="L3" t="s">
        <v>13</v>
      </c>
      <c r="O3">
        <v>20</v>
      </c>
    </row>
    <row r="4" spans="1:21" x14ac:dyDescent="0.25">
      <c r="A4" s="5" t="s">
        <v>2</v>
      </c>
      <c r="B4" s="5">
        <v>39</v>
      </c>
      <c r="C4" s="5">
        <v>40</v>
      </c>
      <c r="D4" s="5">
        <v>30</v>
      </c>
      <c r="E4" s="5">
        <v>35</v>
      </c>
      <c r="F4" s="5">
        <v>15</v>
      </c>
      <c r="G4" s="5">
        <v>25</v>
      </c>
      <c r="H4" s="5" t="s">
        <v>10</v>
      </c>
      <c r="I4" s="5">
        <v>45</v>
      </c>
    </row>
    <row r="5" spans="1:21" x14ac:dyDescent="0.25">
      <c r="A5" s="5" t="s">
        <v>3</v>
      </c>
      <c r="B5" s="5">
        <v>40</v>
      </c>
      <c r="C5" s="5">
        <v>40</v>
      </c>
      <c r="D5" s="5">
        <v>30</v>
      </c>
      <c r="E5" s="5">
        <v>35</v>
      </c>
      <c r="F5" s="5">
        <v>15</v>
      </c>
      <c r="G5" s="5">
        <v>25</v>
      </c>
      <c r="H5" s="5">
        <v>35</v>
      </c>
      <c r="I5" s="5">
        <v>40.5</v>
      </c>
      <c r="L5" t="s">
        <v>12</v>
      </c>
      <c r="M5">
        <f>MOD(D11,$U$1)</f>
        <v>2</v>
      </c>
      <c r="N5">
        <f>MOD(E11,$U$1)</f>
        <v>3</v>
      </c>
      <c r="O5">
        <f>MOD(F11,$U$1)</f>
        <v>3</v>
      </c>
      <c r="P5">
        <f>MOD(G11,$U$1)</f>
        <v>1</v>
      </c>
      <c r="Q5">
        <f>MOD(H11,$U$1)</f>
        <v>3</v>
      </c>
      <c r="R5">
        <f>MOD(I11,$U$1)</f>
        <v>1</v>
      </c>
      <c r="S5" s="3">
        <f>SUM(M5:R5)</f>
        <v>13</v>
      </c>
    </row>
    <row r="6" spans="1:21" x14ac:dyDescent="0.25">
      <c r="A6" s="49" t="s">
        <v>4</v>
      </c>
      <c r="B6" s="49">
        <v>33</v>
      </c>
      <c r="C6" s="49">
        <v>36</v>
      </c>
      <c r="D6" s="49">
        <v>30</v>
      </c>
      <c r="E6" s="49">
        <v>35</v>
      </c>
      <c r="F6" s="49">
        <v>15</v>
      </c>
      <c r="G6" s="49">
        <v>25</v>
      </c>
      <c r="H6" s="49">
        <v>35</v>
      </c>
      <c r="I6" s="49">
        <v>5</v>
      </c>
      <c r="L6" t="s">
        <v>14</v>
      </c>
      <c r="M6">
        <v>10</v>
      </c>
      <c r="N6">
        <v>11</v>
      </c>
      <c r="O6">
        <v>15</v>
      </c>
      <c r="P6">
        <v>0</v>
      </c>
      <c r="Q6">
        <v>0</v>
      </c>
      <c r="R6">
        <v>5</v>
      </c>
      <c r="S6" s="3">
        <f>SUM(M6:R6)</f>
        <v>41</v>
      </c>
    </row>
    <row r="7" spans="1:21" x14ac:dyDescent="0.25">
      <c r="A7" s="5" t="s">
        <v>5</v>
      </c>
      <c r="B7" s="5">
        <v>20</v>
      </c>
      <c r="C7" s="5">
        <v>20</v>
      </c>
      <c r="D7" s="5" t="s">
        <v>9</v>
      </c>
      <c r="E7" s="5">
        <v>35</v>
      </c>
      <c r="F7" s="5">
        <v>15</v>
      </c>
      <c r="G7" s="5">
        <v>25</v>
      </c>
      <c r="H7" s="5">
        <v>35</v>
      </c>
      <c r="I7" s="5">
        <v>5</v>
      </c>
      <c r="L7" t="s">
        <v>16</v>
      </c>
    </row>
    <row r="8" spans="1:21" x14ac:dyDescent="0.25">
      <c r="A8" s="5" t="s">
        <v>6</v>
      </c>
      <c r="B8" s="5">
        <v>21</v>
      </c>
      <c r="C8" s="5">
        <v>24</v>
      </c>
      <c r="D8" s="5">
        <v>10</v>
      </c>
      <c r="E8" s="5">
        <v>24.11</v>
      </c>
      <c r="F8" s="5">
        <v>15</v>
      </c>
      <c r="G8" s="5">
        <v>25</v>
      </c>
      <c r="H8" s="5">
        <v>35</v>
      </c>
      <c r="I8" s="5">
        <v>5</v>
      </c>
      <c r="M8">
        <v>1</v>
      </c>
    </row>
    <row r="9" spans="1:21" x14ac:dyDescent="0.25">
      <c r="M9">
        <v>0</v>
      </c>
    </row>
    <row r="10" spans="1:21" x14ac:dyDescent="0.25">
      <c r="M10">
        <v>3</v>
      </c>
      <c r="N10" t="s">
        <v>52</v>
      </c>
      <c r="S10" s="3">
        <f>SUM(M8:M9)+SUM(M11:M12)</f>
        <v>4</v>
      </c>
    </row>
    <row r="11" spans="1:21" x14ac:dyDescent="0.25">
      <c r="A11" t="s">
        <v>11</v>
      </c>
      <c r="D11" s="1">
        <v>10</v>
      </c>
      <c r="E11" s="1">
        <v>11</v>
      </c>
      <c r="F11" s="1">
        <v>15</v>
      </c>
      <c r="G11" s="1">
        <v>25</v>
      </c>
      <c r="H11" s="1">
        <v>35</v>
      </c>
      <c r="I11" s="1">
        <v>5</v>
      </c>
      <c r="K11" s="53" t="s">
        <v>53</v>
      </c>
      <c r="M11">
        <v>0</v>
      </c>
    </row>
    <row r="12" spans="1:21" x14ac:dyDescent="0.25">
      <c r="K12" s="54">
        <f>S13/SUM(D3:I3)</f>
        <v>0.25777777777777777</v>
      </c>
      <c r="M12">
        <v>3</v>
      </c>
    </row>
    <row r="13" spans="1:21" x14ac:dyDescent="0.25">
      <c r="S13" s="3">
        <f>SUM(S5:S10)</f>
        <v>58</v>
      </c>
    </row>
    <row r="16" spans="1:21" x14ac:dyDescent="0.25">
      <c r="A16" t="s">
        <v>32</v>
      </c>
    </row>
    <row r="17" spans="1:19" x14ac:dyDescent="0.25">
      <c r="A17" s="45" t="s">
        <v>0</v>
      </c>
      <c r="B17" s="45"/>
      <c r="C17" s="45"/>
      <c r="D17" s="45" t="s">
        <v>1</v>
      </c>
      <c r="E17" s="45"/>
      <c r="F17" s="45"/>
      <c r="G17" s="45"/>
      <c r="H17" s="45"/>
      <c r="I17" s="45"/>
    </row>
    <row r="18" spans="1:19" x14ac:dyDescent="0.25">
      <c r="A18" s="45"/>
      <c r="B18" s="45"/>
      <c r="C18" s="45"/>
      <c r="D18" s="5">
        <v>30</v>
      </c>
      <c r="E18" s="5">
        <v>35</v>
      </c>
      <c r="F18" s="5">
        <v>15</v>
      </c>
      <c r="G18" s="5">
        <v>25</v>
      </c>
      <c r="H18" s="5">
        <v>75</v>
      </c>
      <c r="I18" s="5">
        <v>45</v>
      </c>
      <c r="L18" t="s">
        <v>13</v>
      </c>
      <c r="O18">
        <v>20</v>
      </c>
    </row>
    <row r="19" spans="1:19" x14ac:dyDescent="0.25">
      <c r="A19" s="5" t="s">
        <v>2</v>
      </c>
      <c r="B19" s="5">
        <v>39</v>
      </c>
      <c r="C19" s="5">
        <v>40</v>
      </c>
      <c r="D19" s="5">
        <v>30</v>
      </c>
      <c r="E19" s="5">
        <v>35</v>
      </c>
      <c r="F19" s="5">
        <v>15</v>
      </c>
      <c r="G19" s="5">
        <v>25</v>
      </c>
      <c r="H19" s="5" t="s">
        <v>10</v>
      </c>
      <c r="I19" s="5">
        <v>45</v>
      </c>
    </row>
    <row r="20" spans="1:19" x14ac:dyDescent="0.25">
      <c r="A20" s="5" t="s">
        <v>3</v>
      </c>
      <c r="B20" s="5">
        <v>40</v>
      </c>
      <c r="C20" s="5">
        <v>40</v>
      </c>
      <c r="D20" s="5">
        <v>30</v>
      </c>
      <c r="E20" s="5">
        <v>35</v>
      </c>
      <c r="F20" s="5">
        <v>15</v>
      </c>
      <c r="G20" s="5">
        <v>25</v>
      </c>
      <c r="H20" s="5">
        <v>35</v>
      </c>
      <c r="I20" s="5">
        <v>40.5</v>
      </c>
      <c r="L20" t="s">
        <v>12</v>
      </c>
      <c r="M20">
        <f>MOD(D26,$U$1)</f>
        <v>2</v>
      </c>
      <c r="N20">
        <f>MOD(E26,$U$1)</f>
        <v>3</v>
      </c>
      <c r="O20">
        <f>MOD(F26,$U$1)</f>
        <v>3</v>
      </c>
      <c r="P20">
        <f>MOD(G26,$U$1)</f>
        <v>1</v>
      </c>
      <c r="Q20">
        <f>MOD(H26,$U$1)</f>
        <v>3</v>
      </c>
      <c r="R20">
        <f>MOD(I26,$U$1)</f>
        <v>1</v>
      </c>
      <c r="S20" s="3">
        <f>SUM(M20:R20)</f>
        <v>13</v>
      </c>
    </row>
    <row r="21" spans="1:19" x14ac:dyDescent="0.25">
      <c r="A21" s="49" t="s">
        <v>4</v>
      </c>
      <c r="B21" s="49">
        <v>33</v>
      </c>
      <c r="C21" s="49">
        <v>36</v>
      </c>
      <c r="D21" s="49">
        <v>30</v>
      </c>
      <c r="E21" s="49">
        <v>35</v>
      </c>
      <c r="F21" s="49">
        <v>15</v>
      </c>
      <c r="G21" s="49">
        <v>25</v>
      </c>
      <c r="H21" s="49">
        <v>35</v>
      </c>
      <c r="I21" s="49">
        <v>5</v>
      </c>
      <c r="L21" t="s">
        <v>14</v>
      </c>
      <c r="M21">
        <v>10</v>
      </c>
      <c r="N21">
        <v>11</v>
      </c>
      <c r="O21">
        <v>15</v>
      </c>
      <c r="P21">
        <v>0</v>
      </c>
      <c r="Q21">
        <v>0</v>
      </c>
      <c r="R21">
        <v>5</v>
      </c>
      <c r="S21" s="3">
        <f>SUM(M21:R21)</f>
        <v>41</v>
      </c>
    </row>
    <row r="22" spans="1:19" x14ac:dyDescent="0.25">
      <c r="A22" s="5" t="s">
        <v>5</v>
      </c>
      <c r="B22" s="5">
        <v>20</v>
      </c>
      <c r="C22" s="5">
        <v>20</v>
      </c>
      <c r="D22" s="5" t="s">
        <v>9</v>
      </c>
      <c r="E22" s="5">
        <v>35</v>
      </c>
      <c r="F22" s="5">
        <v>15</v>
      </c>
      <c r="G22" s="5">
        <v>25</v>
      </c>
      <c r="H22" s="5">
        <v>35</v>
      </c>
      <c r="I22" s="5">
        <v>5</v>
      </c>
      <c r="L22" t="s">
        <v>16</v>
      </c>
    </row>
    <row r="23" spans="1:19" x14ac:dyDescent="0.25">
      <c r="A23" s="5" t="s">
        <v>6</v>
      </c>
      <c r="B23" s="5">
        <v>21</v>
      </c>
      <c r="C23" s="5">
        <v>24</v>
      </c>
      <c r="D23" s="5">
        <v>10</v>
      </c>
      <c r="E23" s="5">
        <v>24.11</v>
      </c>
      <c r="F23" s="5">
        <v>15</v>
      </c>
      <c r="G23" s="5">
        <v>25</v>
      </c>
      <c r="H23" s="5">
        <v>35</v>
      </c>
      <c r="I23" s="5">
        <v>5</v>
      </c>
      <c r="M23">
        <v>1</v>
      </c>
    </row>
    <row r="24" spans="1:19" x14ac:dyDescent="0.25">
      <c r="M24">
        <v>0</v>
      </c>
    </row>
    <row r="25" spans="1:19" x14ac:dyDescent="0.25">
      <c r="M25">
        <v>3</v>
      </c>
      <c r="N25" t="s">
        <v>52</v>
      </c>
      <c r="S25" s="3">
        <f>SUM(M23:M24)+SUM(M26:M27)</f>
        <v>4</v>
      </c>
    </row>
    <row r="26" spans="1:19" x14ac:dyDescent="0.25">
      <c r="A26" t="s">
        <v>11</v>
      </c>
      <c r="D26" s="1">
        <v>10</v>
      </c>
      <c r="E26" s="1">
        <v>11</v>
      </c>
      <c r="F26" s="1">
        <v>15</v>
      </c>
      <c r="G26" s="1">
        <v>25</v>
      </c>
      <c r="H26" s="1">
        <v>35</v>
      </c>
      <c r="I26" s="1">
        <v>5</v>
      </c>
      <c r="K26" s="53" t="str">
        <f>K11</f>
        <v>Elveszett memória terület</v>
      </c>
      <c r="M26">
        <v>0</v>
      </c>
    </row>
    <row r="27" spans="1:19" x14ac:dyDescent="0.25">
      <c r="K27" s="54">
        <f>S28/SUM(D18:I18)</f>
        <v>0.25777777777777777</v>
      </c>
      <c r="M27">
        <v>3</v>
      </c>
    </row>
    <row r="28" spans="1:19" x14ac:dyDescent="0.25">
      <c r="S28" s="3">
        <f>SUM(S20:S25)</f>
        <v>58</v>
      </c>
    </row>
    <row r="32" spans="1:19" x14ac:dyDescent="0.25">
      <c r="A32" t="s">
        <v>34</v>
      </c>
    </row>
    <row r="33" spans="1:19" x14ac:dyDescent="0.25">
      <c r="A33" s="45" t="s">
        <v>0</v>
      </c>
      <c r="B33" s="45"/>
      <c r="C33" s="45"/>
      <c r="D33" s="45" t="s">
        <v>1</v>
      </c>
      <c r="E33" s="45"/>
      <c r="F33" s="45"/>
      <c r="G33" s="45"/>
      <c r="H33" s="45"/>
      <c r="I33" s="45"/>
    </row>
    <row r="34" spans="1:19" x14ac:dyDescent="0.25">
      <c r="A34" s="45"/>
      <c r="B34" s="45"/>
      <c r="C34" s="45"/>
      <c r="D34" s="5">
        <v>30</v>
      </c>
      <c r="E34" s="5">
        <v>35</v>
      </c>
      <c r="F34" s="5">
        <v>15</v>
      </c>
      <c r="G34" s="5">
        <v>25</v>
      </c>
      <c r="H34" s="5">
        <v>75</v>
      </c>
      <c r="I34" s="5">
        <v>45</v>
      </c>
      <c r="L34" t="s">
        <v>13</v>
      </c>
      <c r="O34">
        <v>20</v>
      </c>
    </row>
    <row r="35" spans="1:19" x14ac:dyDescent="0.25">
      <c r="A35" s="5" t="s">
        <v>2</v>
      </c>
      <c r="B35" s="5">
        <v>39</v>
      </c>
      <c r="C35" s="5">
        <v>40</v>
      </c>
      <c r="D35" s="5">
        <v>30</v>
      </c>
      <c r="E35" s="5">
        <v>35</v>
      </c>
      <c r="F35" s="5">
        <v>15</v>
      </c>
      <c r="G35" s="5">
        <v>25</v>
      </c>
      <c r="H35" s="5">
        <v>75</v>
      </c>
      <c r="I35" s="5">
        <v>40.5</v>
      </c>
    </row>
    <row r="36" spans="1:19" x14ac:dyDescent="0.25">
      <c r="A36" s="5" t="s">
        <v>3</v>
      </c>
      <c r="B36" s="5">
        <v>40</v>
      </c>
      <c r="C36" s="5">
        <v>40</v>
      </c>
      <c r="D36" s="5"/>
      <c r="E36" s="5"/>
      <c r="F36" s="5"/>
      <c r="G36" s="5"/>
      <c r="H36" s="5" t="s">
        <v>10</v>
      </c>
      <c r="I36" s="5">
        <v>5</v>
      </c>
      <c r="L36" t="s">
        <v>12</v>
      </c>
      <c r="M36">
        <f>MOD(D42,$U$1)</f>
        <v>2</v>
      </c>
      <c r="N36">
        <f>MOD(E42,$U$1)</f>
        <v>3</v>
      </c>
      <c r="O36">
        <f>MOD(F42,$U$1)</f>
        <v>3</v>
      </c>
      <c r="P36">
        <f>MOD(G42,$U$1)</f>
        <v>1</v>
      </c>
      <c r="Q36">
        <f>MOD(H42,$U$1)</f>
        <v>3</v>
      </c>
      <c r="R36">
        <f>MOD(I42,$U$1)</f>
        <v>1</v>
      </c>
      <c r="S36" s="3">
        <f>SUM(M36:R36)</f>
        <v>13</v>
      </c>
    </row>
    <row r="37" spans="1:19" x14ac:dyDescent="0.25">
      <c r="A37" s="49" t="s">
        <v>4</v>
      </c>
      <c r="B37" s="49">
        <v>33</v>
      </c>
      <c r="C37" s="49">
        <v>36</v>
      </c>
      <c r="D37" s="49"/>
      <c r="E37" s="49"/>
      <c r="F37" s="49"/>
      <c r="G37" s="49"/>
      <c r="H37" s="49"/>
      <c r="I37" s="49">
        <v>5</v>
      </c>
      <c r="L37" t="s">
        <v>14</v>
      </c>
      <c r="M37">
        <f t="shared" ref="M37:R37" si="0">IF($O$48&gt;D42,D42,0)</f>
        <v>6</v>
      </c>
      <c r="N37">
        <f t="shared" si="0"/>
        <v>0</v>
      </c>
      <c r="O37">
        <f t="shared" si="0"/>
        <v>15</v>
      </c>
      <c r="P37">
        <f t="shared" si="0"/>
        <v>5</v>
      </c>
      <c r="Q37">
        <f t="shared" si="0"/>
        <v>0</v>
      </c>
      <c r="R37">
        <f t="shared" si="0"/>
        <v>5</v>
      </c>
      <c r="S37" s="3">
        <f>SUM(M37:R37)</f>
        <v>31</v>
      </c>
    </row>
    <row r="38" spans="1:19" x14ac:dyDescent="0.25">
      <c r="A38" s="5" t="s">
        <v>5</v>
      </c>
      <c r="B38" s="5">
        <v>20</v>
      </c>
      <c r="C38" s="5">
        <v>20</v>
      </c>
      <c r="D38" s="5"/>
      <c r="E38" s="5"/>
      <c r="F38" s="5"/>
      <c r="G38" s="5">
        <v>20.5</v>
      </c>
      <c r="H38" s="5"/>
      <c r="I38" s="5">
        <v>5</v>
      </c>
      <c r="L38" t="s">
        <v>16</v>
      </c>
    </row>
    <row r="39" spans="1:19" x14ac:dyDescent="0.25">
      <c r="A39" s="5" t="s">
        <v>6</v>
      </c>
      <c r="B39" s="5">
        <v>21</v>
      </c>
      <c r="C39" s="5">
        <v>24</v>
      </c>
      <c r="D39" s="5" t="s">
        <v>19</v>
      </c>
      <c r="E39" s="5"/>
      <c r="F39" s="5"/>
      <c r="G39" s="5"/>
      <c r="H39" s="5"/>
      <c r="I39" s="5">
        <v>5</v>
      </c>
      <c r="M39">
        <v>1</v>
      </c>
    </row>
    <row r="40" spans="1:19" x14ac:dyDescent="0.25">
      <c r="M40">
        <v>0</v>
      </c>
    </row>
    <row r="41" spans="1:19" x14ac:dyDescent="0.25">
      <c r="M41">
        <v>3</v>
      </c>
      <c r="N41" t="s">
        <v>52</v>
      </c>
      <c r="S41" s="3">
        <f>SUM(M39:M40)+SUM(M42:M43)</f>
        <v>4</v>
      </c>
    </row>
    <row r="42" spans="1:19" x14ac:dyDescent="0.25">
      <c r="A42" t="s">
        <v>11</v>
      </c>
      <c r="D42" s="1">
        <v>6</v>
      </c>
      <c r="E42" s="1">
        <v>35</v>
      </c>
      <c r="F42" s="1">
        <v>15</v>
      </c>
      <c r="G42" s="1">
        <v>5</v>
      </c>
      <c r="H42" s="1">
        <v>35</v>
      </c>
      <c r="I42" s="1">
        <v>5</v>
      </c>
      <c r="K42" s="53" t="str">
        <f>K26</f>
        <v>Elveszett memória terület</v>
      </c>
      <c r="M42">
        <v>0</v>
      </c>
    </row>
    <row r="43" spans="1:19" x14ac:dyDescent="0.25">
      <c r="K43" s="54">
        <f>S44/SUM(D34:I34)</f>
        <v>0.21333333333333335</v>
      </c>
      <c r="M43">
        <v>3</v>
      </c>
    </row>
    <row r="44" spans="1:19" x14ac:dyDescent="0.25">
      <c r="S44" s="3">
        <f>SUM(S36:S41)</f>
        <v>48</v>
      </c>
    </row>
    <row r="46" spans="1:19" x14ac:dyDescent="0.25">
      <c r="A46" t="s">
        <v>33</v>
      </c>
    </row>
    <row r="47" spans="1:19" x14ac:dyDescent="0.25">
      <c r="A47" s="45" t="s">
        <v>0</v>
      </c>
      <c r="B47" s="45"/>
      <c r="C47" s="45"/>
      <c r="D47" s="45" t="s">
        <v>1</v>
      </c>
      <c r="E47" s="45"/>
      <c r="F47" s="45"/>
      <c r="G47" s="45"/>
      <c r="H47" s="45"/>
      <c r="I47" s="45"/>
    </row>
    <row r="48" spans="1:19" x14ac:dyDescent="0.25">
      <c r="A48" s="45"/>
      <c r="B48" s="45"/>
      <c r="C48" s="45"/>
      <c r="D48" s="5">
        <v>30</v>
      </c>
      <c r="E48" s="5">
        <v>35</v>
      </c>
      <c r="F48" s="5">
        <v>15</v>
      </c>
      <c r="G48" s="5">
        <v>25</v>
      </c>
      <c r="H48" s="5">
        <v>75</v>
      </c>
      <c r="I48" s="5">
        <v>45</v>
      </c>
      <c r="L48" t="s">
        <v>13</v>
      </c>
      <c r="O48">
        <v>20</v>
      </c>
    </row>
    <row r="49" spans="1:19" x14ac:dyDescent="0.25">
      <c r="A49" s="5" t="s">
        <v>2</v>
      </c>
      <c r="B49" s="5">
        <v>39</v>
      </c>
      <c r="C49" s="5">
        <v>40</v>
      </c>
      <c r="D49" s="5">
        <v>30</v>
      </c>
      <c r="E49" s="5">
        <v>35</v>
      </c>
      <c r="F49" s="5">
        <v>15</v>
      </c>
      <c r="G49" s="5">
        <v>25</v>
      </c>
      <c r="H49" s="5" t="s">
        <v>10</v>
      </c>
      <c r="I49" s="5">
        <v>45</v>
      </c>
    </row>
    <row r="50" spans="1:19" x14ac:dyDescent="0.25">
      <c r="A50" s="5" t="s">
        <v>3</v>
      </c>
      <c r="B50" s="5">
        <v>40</v>
      </c>
      <c r="C50" s="5">
        <v>40</v>
      </c>
      <c r="D50" s="5">
        <v>30</v>
      </c>
      <c r="E50" s="5">
        <v>35</v>
      </c>
      <c r="F50" s="5">
        <v>15</v>
      </c>
      <c r="G50" s="5">
        <v>25</v>
      </c>
      <c r="H50" s="5">
        <v>35</v>
      </c>
      <c r="I50" s="5" t="s">
        <v>8</v>
      </c>
      <c r="L50" t="s">
        <v>12</v>
      </c>
      <c r="M50">
        <f>MOD(D56,$U$1)</f>
        <v>2</v>
      </c>
      <c r="N50">
        <f>MOD(E56,$U$1)</f>
        <v>3</v>
      </c>
      <c r="O50">
        <f>MOD(F56,$U$1)</f>
        <v>3</v>
      </c>
      <c r="P50">
        <f>MOD(G56,$U$1)</f>
        <v>1</v>
      </c>
      <c r="Q50">
        <f>MOD(H56,$U$1)</f>
        <v>3</v>
      </c>
      <c r="R50">
        <f>MOD(I56,$U$1)</f>
        <v>1</v>
      </c>
      <c r="S50" s="3">
        <f>SUM(M50:R50)</f>
        <v>13</v>
      </c>
    </row>
    <row r="51" spans="1:19" x14ac:dyDescent="0.25">
      <c r="A51" s="49" t="s">
        <v>4</v>
      </c>
      <c r="B51" s="49">
        <v>33</v>
      </c>
      <c r="C51" s="49">
        <v>36</v>
      </c>
      <c r="D51" s="49">
        <v>30</v>
      </c>
      <c r="E51" s="49">
        <v>35</v>
      </c>
      <c r="F51" s="49">
        <v>15</v>
      </c>
      <c r="G51" s="49">
        <v>25</v>
      </c>
      <c r="H51" s="49">
        <v>35</v>
      </c>
      <c r="I51" s="49">
        <v>5</v>
      </c>
      <c r="L51" t="s">
        <v>14</v>
      </c>
      <c r="M51">
        <f t="shared" ref="M51:R51" si="1">IF($O$48&gt;D56,D56,0)</f>
        <v>0</v>
      </c>
      <c r="N51">
        <f t="shared" si="1"/>
        <v>15</v>
      </c>
      <c r="O51">
        <f t="shared" si="1"/>
        <v>15</v>
      </c>
      <c r="P51">
        <f t="shared" si="1"/>
        <v>0</v>
      </c>
      <c r="Q51">
        <f t="shared" si="1"/>
        <v>11</v>
      </c>
      <c r="R51">
        <f t="shared" si="1"/>
        <v>5</v>
      </c>
      <c r="S51" s="3">
        <f>SUM(M51:R51)</f>
        <v>46</v>
      </c>
    </row>
    <row r="52" spans="1:19" x14ac:dyDescent="0.25">
      <c r="A52" s="5" t="s">
        <v>5</v>
      </c>
      <c r="B52" s="5">
        <v>20</v>
      </c>
      <c r="C52" s="5">
        <v>20</v>
      </c>
      <c r="D52" s="5">
        <v>30</v>
      </c>
      <c r="E52" s="5" t="s">
        <v>17</v>
      </c>
      <c r="F52" s="5">
        <v>15</v>
      </c>
      <c r="G52" s="5">
        <v>25</v>
      </c>
      <c r="H52" s="5">
        <v>35</v>
      </c>
      <c r="I52" s="5">
        <v>5</v>
      </c>
      <c r="L52" t="s">
        <v>16</v>
      </c>
    </row>
    <row r="53" spans="1:19" x14ac:dyDescent="0.25">
      <c r="A53" s="5" t="s">
        <v>6</v>
      </c>
      <c r="B53" s="5">
        <v>21</v>
      </c>
      <c r="C53" s="5">
        <v>24</v>
      </c>
      <c r="D53" s="5">
        <v>30</v>
      </c>
      <c r="E53" s="5">
        <v>15</v>
      </c>
      <c r="F53" s="5">
        <v>15</v>
      </c>
      <c r="G53" s="5">
        <v>25</v>
      </c>
      <c r="H53" s="5" t="s">
        <v>18</v>
      </c>
      <c r="I53" s="5">
        <v>5</v>
      </c>
      <c r="M53">
        <v>1</v>
      </c>
    </row>
    <row r="54" spans="1:19" x14ac:dyDescent="0.25">
      <c r="M54">
        <v>0</v>
      </c>
    </row>
    <row r="55" spans="1:19" x14ac:dyDescent="0.25">
      <c r="M55">
        <v>3</v>
      </c>
      <c r="N55" t="s">
        <v>52</v>
      </c>
      <c r="S55" s="3">
        <f>SUM(M53:M54)+SUM(M56:M57)</f>
        <v>4</v>
      </c>
    </row>
    <row r="56" spans="1:19" x14ac:dyDescent="0.25">
      <c r="A56" t="s">
        <v>11</v>
      </c>
      <c r="D56" s="1">
        <v>30</v>
      </c>
      <c r="E56" s="1">
        <v>15</v>
      </c>
      <c r="F56" s="1">
        <v>15</v>
      </c>
      <c r="G56" s="1">
        <v>25</v>
      </c>
      <c r="H56" s="1">
        <v>11</v>
      </c>
      <c r="I56" s="1">
        <v>5</v>
      </c>
      <c r="K56" s="55" t="str">
        <f>K42</f>
        <v>Elveszett memória terület</v>
      </c>
      <c r="M56">
        <v>0</v>
      </c>
    </row>
    <row r="57" spans="1:19" x14ac:dyDescent="0.25">
      <c r="K57" s="54">
        <f>S58/SUM(D48:I48)</f>
        <v>0.28000000000000003</v>
      </c>
      <c r="M57">
        <v>3</v>
      </c>
    </row>
    <row r="58" spans="1:19" x14ac:dyDescent="0.25">
      <c r="S58" s="3">
        <f>SUM(S50:S55)</f>
        <v>63</v>
      </c>
    </row>
    <row r="61" spans="1:19" x14ac:dyDescent="0.25">
      <c r="J61" s="4"/>
      <c r="K61" s="55" t="str">
        <f>K56</f>
        <v>Elveszett memória terület</v>
      </c>
    </row>
    <row r="62" spans="1:19" x14ac:dyDescent="0.25">
      <c r="J62" s="50" t="s">
        <v>7</v>
      </c>
      <c r="K62" s="55">
        <f>K12</f>
        <v>0.25777777777777777</v>
      </c>
    </row>
    <row r="63" spans="1:19" x14ac:dyDescent="0.25">
      <c r="J63" s="50" t="s">
        <v>32</v>
      </c>
      <c r="K63" s="55">
        <f>K27</f>
        <v>0.25777777777777777</v>
      </c>
    </row>
    <row r="64" spans="1:19" x14ac:dyDescent="0.25">
      <c r="J64" s="50" t="s">
        <v>34</v>
      </c>
      <c r="K64" s="55">
        <f>K43</f>
        <v>0.21333333333333335</v>
      </c>
    </row>
    <row r="65" spans="10:11" x14ac:dyDescent="0.25">
      <c r="J65" s="50" t="s">
        <v>33</v>
      </c>
      <c r="K65" s="55">
        <f>K57</f>
        <v>0.28000000000000003</v>
      </c>
    </row>
  </sheetData>
  <mergeCells count="8">
    <mergeCell ref="A47:C48"/>
    <mergeCell ref="D47:I47"/>
    <mergeCell ref="A33:C34"/>
    <mergeCell ref="D33:I33"/>
    <mergeCell ref="A2:C3"/>
    <mergeCell ref="D2:I2"/>
    <mergeCell ref="A17:C18"/>
    <mergeCell ref="D17:I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3. Task - Önálló feladat</vt:lpstr>
      <vt:lpstr>2. Task laphiba</vt:lpstr>
      <vt:lpstr>1. Task foglalas</vt:lpstr>
      <vt:lpstr>2. Task foglalas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</dc:creator>
  <cp:lastModifiedBy>Pál Zsolt Bartus</cp:lastModifiedBy>
  <dcterms:created xsi:type="dcterms:W3CDTF">2015-06-05T18:19:34Z</dcterms:created>
  <dcterms:modified xsi:type="dcterms:W3CDTF">2025-12-19T21:58:38Z</dcterms:modified>
</cp:coreProperties>
</file>